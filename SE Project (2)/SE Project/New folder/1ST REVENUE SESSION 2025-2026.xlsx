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perior Accountant\Desktop\"/>
    </mc:Choice>
  </mc:AlternateContent>
  <bookViews>
    <workbookView xWindow="0" yWindow="0" windowWidth="23040" windowHeight="9330"/>
  </bookViews>
  <sheets>
    <sheet name="Head Sheet" sheetId="1" r:id="rId1"/>
  </sheets>
  <definedNames>
    <definedName name="_xlnm._FilterDatabase" localSheetId="0" hidden="1">'Head Sheet'!$A$4:$AF$333</definedName>
    <definedName name="_xlnm.Print_Area" localSheetId="0">'Head Sheet'!$A$1:$AF$257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7" i="1" l="1"/>
  <c r="T9" i="1" l="1"/>
  <c r="X86" i="1"/>
  <c r="AD117" i="1" l="1"/>
  <c r="K117" i="1"/>
  <c r="AD38" i="1"/>
  <c r="AE117" i="1" l="1"/>
  <c r="K38" i="1"/>
  <c r="AE38" i="1" s="1"/>
  <c r="X20" i="1"/>
  <c r="X11" i="1"/>
  <c r="AN371" i="1" l="1"/>
  <c r="AN372" i="1" s="1"/>
  <c r="P112" i="1"/>
  <c r="X23" i="1" l="1"/>
  <c r="AD34" i="1" l="1"/>
  <c r="K130" i="1" l="1"/>
  <c r="R252" i="1" l="1"/>
  <c r="R165" i="1" l="1"/>
  <c r="K153" i="1" l="1"/>
  <c r="R162" i="1" l="1"/>
  <c r="R93" i="1" l="1"/>
  <c r="K256" i="1" l="1"/>
  <c r="P197" i="1" l="1"/>
  <c r="R149" i="1" l="1"/>
  <c r="R70" i="1" l="1"/>
  <c r="R74" i="1" l="1"/>
  <c r="T20" i="1" l="1"/>
  <c r="AD148" i="1" l="1"/>
  <c r="K148" i="1"/>
  <c r="AE148" i="1" l="1"/>
  <c r="I3" i="1"/>
  <c r="H3" i="1"/>
  <c r="J3" i="1" l="1"/>
  <c r="P11" i="1" l="1"/>
  <c r="P87" i="1"/>
  <c r="P203" i="1"/>
  <c r="P9" i="1"/>
  <c r="P17" i="1"/>
  <c r="P23" i="1" l="1"/>
  <c r="P231" i="1"/>
  <c r="P218" i="1"/>
  <c r="P76" i="1"/>
  <c r="K106" i="1" l="1"/>
  <c r="C244" i="1" l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25" i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190" i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K149" i="1"/>
  <c r="K150" i="1"/>
  <c r="K151" i="1"/>
  <c r="K152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C150" i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31" i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05" i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02" i="1"/>
  <c r="C103" i="1" s="1"/>
  <c r="C98" i="1"/>
  <c r="C99" i="1" s="1"/>
  <c r="C100" i="1" s="1"/>
  <c r="AD95" i="1"/>
  <c r="K95" i="1"/>
  <c r="C94" i="1"/>
  <c r="C95" i="1" s="1"/>
  <c r="C96" i="1" s="1"/>
  <c r="C84" i="1"/>
  <c r="C85" i="1" s="1"/>
  <c r="C86" i="1" s="1"/>
  <c r="C87" i="1" s="1"/>
  <c r="C88" i="1" s="1"/>
  <c r="C89" i="1" s="1"/>
  <c r="C90" i="1" s="1"/>
  <c r="C91" i="1" s="1"/>
  <c r="C92" i="1" s="1"/>
  <c r="C40" i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AE95" i="1" l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AD23" i="1" l="1"/>
  <c r="K26" i="1" l="1"/>
  <c r="K27" i="1"/>
  <c r="K28" i="1"/>
  <c r="K29" i="1"/>
  <c r="K30" i="1"/>
  <c r="K31" i="1"/>
  <c r="K32" i="1"/>
  <c r="K33" i="1"/>
  <c r="K34" i="1"/>
  <c r="AE34" i="1" s="1"/>
  <c r="K35" i="1"/>
  <c r="K36" i="1"/>
  <c r="K37" i="1"/>
  <c r="K39" i="1"/>
  <c r="K40" i="1"/>
  <c r="K41" i="1"/>
  <c r="K42" i="1"/>
  <c r="K43" i="1"/>
  <c r="K91" i="1"/>
  <c r="K45" i="1"/>
  <c r="K46" i="1"/>
  <c r="K47" i="1"/>
  <c r="K48" i="1"/>
  <c r="K82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44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49" i="1"/>
  <c r="K83" i="1"/>
  <c r="K84" i="1"/>
  <c r="K85" i="1"/>
  <c r="K86" i="1"/>
  <c r="K87" i="1"/>
  <c r="K88" i="1"/>
  <c r="K89" i="1"/>
  <c r="K90" i="1"/>
  <c r="K104" i="1"/>
  <c r="K92" i="1"/>
  <c r="K93" i="1"/>
  <c r="K94" i="1"/>
  <c r="K96" i="1"/>
  <c r="K97" i="1"/>
  <c r="K98" i="1"/>
  <c r="K99" i="1"/>
  <c r="K100" i="1"/>
  <c r="K101" i="1"/>
  <c r="K102" i="1"/>
  <c r="K103" i="1"/>
  <c r="K68" i="1"/>
  <c r="K105" i="1"/>
  <c r="K107" i="1"/>
  <c r="K108" i="1"/>
  <c r="K109" i="1"/>
  <c r="K110" i="1"/>
  <c r="K111" i="1"/>
  <c r="K112" i="1"/>
  <c r="K113" i="1"/>
  <c r="K114" i="1"/>
  <c r="K115" i="1"/>
  <c r="K116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L3" i="1" l="1"/>
  <c r="AD159" i="1" l="1"/>
  <c r="AD158" i="1"/>
  <c r="AD40" i="1"/>
  <c r="AD157" i="1"/>
  <c r="AD98" i="1"/>
  <c r="AD39" i="1"/>
  <c r="AD326" i="1"/>
  <c r="K326" i="1"/>
  <c r="AD132" i="1"/>
  <c r="AD97" i="1"/>
  <c r="AD156" i="1"/>
  <c r="AD96" i="1"/>
  <c r="AD131" i="1"/>
  <c r="AD217" i="1"/>
  <c r="AD68" i="1"/>
  <c r="AD176" i="1"/>
  <c r="AD201" i="1"/>
  <c r="AD37" i="1"/>
  <c r="AD302" i="1"/>
  <c r="AD210" i="1"/>
  <c r="AD211" i="1"/>
  <c r="AD136" i="1"/>
  <c r="AD184" i="1"/>
  <c r="AD66" i="1"/>
  <c r="AD75" i="1"/>
  <c r="AD216" i="1"/>
  <c r="AD215" i="1"/>
  <c r="AE157" i="1" l="1"/>
  <c r="AE158" i="1"/>
  <c r="AE159" i="1"/>
  <c r="AE40" i="1"/>
  <c r="AE98" i="1"/>
  <c r="AE39" i="1"/>
  <c r="AE132" i="1"/>
  <c r="AE326" i="1"/>
  <c r="AE97" i="1"/>
  <c r="AE156" i="1"/>
  <c r="AE96" i="1"/>
  <c r="AE131" i="1"/>
  <c r="AE217" i="1"/>
  <c r="AE68" i="1"/>
  <c r="AE215" i="1"/>
  <c r="AE211" i="1"/>
  <c r="AE176" i="1"/>
  <c r="AE201" i="1"/>
  <c r="AE37" i="1"/>
  <c r="AE302" i="1"/>
  <c r="AE210" i="1"/>
  <c r="AE136" i="1"/>
  <c r="AE184" i="1"/>
  <c r="AE75" i="1"/>
  <c r="AE66" i="1"/>
  <c r="AE216" i="1"/>
  <c r="AD55" i="1"/>
  <c r="K7" i="1" l="1"/>
  <c r="AD43" i="1" l="1"/>
  <c r="AD160" i="1" l="1"/>
  <c r="AD212" i="1" l="1"/>
  <c r="AE212" i="1" s="1"/>
  <c r="AD213" i="1"/>
  <c r="AD89" i="1" l="1"/>
  <c r="AD42" i="1" l="1"/>
  <c r="AD10" i="1" l="1"/>
  <c r="AD6" i="1"/>
  <c r="AD11" i="1"/>
  <c r="AD12" i="1"/>
  <c r="AD7" i="1"/>
  <c r="AD8" i="1"/>
  <c r="AD13" i="1"/>
  <c r="AD14" i="1"/>
  <c r="AD15" i="1"/>
  <c r="AD16" i="1"/>
  <c r="AD17" i="1"/>
  <c r="AD18" i="1"/>
  <c r="AD19" i="1"/>
  <c r="AD20" i="1"/>
  <c r="AD22" i="1"/>
  <c r="AD24" i="1"/>
  <c r="AD25" i="1"/>
  <c r="AD26" i="1"/>
  <c r="AD27" i="1"/>
  <c r="AD28" i="1"/>
  <c r="AD29" i="1"/>
  <c r="AD30" i="1"/>
  <c r="AD31" i="1"/>
  <c r="AD32" i="1"/>
  <c r="AD33" i="1"/>
  <c r="AD35" i="1"/>
  <c r="AD36" i="1"/>
  <c r="AD41" i="1"/>
  <c r="AD91" i="1"/>
  <c r="AD45" i="1"/>
  <c r="AD46" i="1"/>
  <c r="AD47" i="1"/>
  <c r="AD48" i="1"/>
  <c r="AD50" i="1"/>
  <c r="AD52" i="1"/>
  <c r="AD53" i="1"/>
  <c r="AD54" i="1"/>
  <c r="AD56" i="1"/>
  <c r="AD57" i="1"/>
  <c r="AD58" i="1"/>
  <c r="AD59" i="1"/>
  <c r="AD61" i="1"/>
  <c r="AD63" i="1"/>
  <c r="AD307" i="1"/>
  <c r="AD65" i="1"/>
  <c r="AD44" i="1"/>
  <c r="AD69" i="1"/>
  <c r="AD70" i="1"/>
  <c r="AD71" i="1"/>
  <c r="AD109" i="1"/>
  <c r="AD73" i="1"/>
  <c r="AD74" i="1"/>
  <c r="AD76" i="1"/>
  <c r="AD77" i="1"/>
  <c r="AD79" i="1"/>
  <c r="AD101" i="1"/>
  <c r="AD80" i="1"/>
  <c r="AD81" i="1"/>
  <c r="AD49" i="1"/>
  <c r="AD83" i="1"/>
  <c r="AD84" i="1"/>
  <c r="AD85" i="1"/>
  <c r="AD86" i="1"/>
  <c r="AD87" i="1"/>
  <c r="AD88" i="1"/>
  <c r="AD90" i="1"/>
  <c r="AD104" i="1"/>
  <c r="AD92" i="1"/>
  <c r="AD93" i="1"/>
  <c r="AD94" i="1"/>
  <c r="AD99" i="1"/>
  <c r="AD100" i="1"/>
  <c r="AD319" i="1"/>
  <c r="AD308" i="1"/>
  <c r="AD173" i="1"/>
  <c r="AD172" i="1"/>
  <c r="AD105" i="1"/>
  <c r="AD106" i="1"/>
  <c r="AD107" i="1"/>
  <c r="AD108" i="1"/>
  <c r="AD135" i="1"/>
  <c r="AD110" i="1"/>
  <c r="AD111" i="1"/>
  <c r="AD112" i="1"/>
  <c r="AD113" i="1"/>
  <c r="AD114" i="1"/>
  <c r="AD115" i="1"/>
  <c r="AD116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3" i="1"/>
  <c r="AD134" i="1"/>
  <c r="AD137" i="1"/>
  <c r="AD138" i="1"/>
  <c r="AD139" i="1"/>
  <c r="AD140" i="1"/>
  <c r="AD141" i="1"/>
  <c r="AD142" i="1"/>
  <c r="AD143" i="1"/>
  <c r="AD144" i="1"/>
  <c r="AD145" i="1"/>
  <c r="AD146" i="1"/>
  <c r="AD147" i="1"/>
  <c r="AD149" i="1"/>
  <c r="AD150" i="1"/>
  <c r="AD151" i="1"/>
  <c r="AD152" i="1"/>
  <c r="AD153" i="1"/>
  <c r="AD154" i="1"/>
  <c r="AD155" i="1"/>
  <c r="AD161" i="1"/>
  <c r="AD162" i="1"/>
  <c r="AD163" i="1"/>
  <c r="AD164" i="1"/>
  <c r="AD165" i="1"/>
  <c r="AD166" i="1"/>
  <c r="AD167" i="1"/>
  <c r="AD168" i="1"/>
  <c r="AD170" i="1"/>
  <c r="AD207" i="1"/>
  <c r="AD174" i="1"/>
  <c r="AD175" i="1"/>
  <c r="AD177" i="1"/>
  <c r="AD178" i="1"/>
  <c r="AD179" i="1"/>
  <c r="AD180" i="1"/>
  <c r="AD182" i="1"/>
  <c r="AD183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2" i="1"/>
  <c r="AD204" i="1"/>
  <c r="AD205" i="1"/>
  <c r="AD206" i="1"/>
  <c r="AD103" i="1"/>
  <c r="AD208" i="1"/>
  <c r="AD209" i="1"/>
  <c r="AD214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3" i="1"/>
  <c r="AD254" i="1"/>
  <c r="AD255" i="1"/>
  <c r="AD256" i="1"/>
  <c r="AD257" i="1"/>
  <c r="AD258" i="1"/>
  <c r="AD259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8" i="1"/>
  <c r="AD279" i="1"/>
  <c r="AD280" i="1"/>
  <c r="AD282" i="1"/>
  <c r="AD284" i="1"/>
  <c r="AD285" i="1"/>
  <c r="AD286" i="1"/>
  <c r="AD287" i="1"/>
  <c r="AD288" i="1"/>
  <c r="AD291" i="1"/>
  <c r="AD292" i="1"/>
  <c r="AD293" i="1"/>
  <c r="AD295" i="1"/>
  <c r="AD296" i="1"/>
  <c r="AD297" i="1"/>
  <c r="AD299" i="1"/>
  <c r="AD300" i="1"/>
  <c r="AD303" i="1"/>
  <c r="AD304" i="1"/>
  <c r="AD305" i="1"/>
  <c r="AD306" i="1"/>
  <c r="AD78" i="1"/>
  <c r="AD309" i="1"/>
  <c r="AD310" i="1"/>
  <c r="AD312" i="1"/>
  <c r="AD313" i="1"/>
  <c r="AD314" i="1"/>
  <c r="AD315" i="1"/>
  <c r="AD318" i="1"/>
  <c r="AD320" i="1"/>
  <c r="AD64" i="1"/>
  <c r="AD322" i="1"/>
  <c r="AD323" i="1"/>
  <c r="AD324" i="1"/>
  <c r="AD325" i="1"/>
  <c r="AD327" i="1"/>
  <c r="AD328" i="1"/>
  <c r="AD329" i="1"/>
  <c r="AD330" i="1"/>
  <c r="AD331" i="1"/>
  <c r="AD5" i="1"/>
  <c r="AE7" i="1" l="1"/>
  <c r="AD316" i="1"/>
  <c r="AD169" i="1" l="1"/>
  <c r="AD82" i="1" l="1"/>
  <c r="AD72" i="1" l="1"/>
  <c r="AE155" i="1" l="1"/>
  <c r="AE154" i="1"/>
  <c r="AE61" i="1"/>
  <c r="AD102" i="1" l="1"/>
  <c r="AD298" i="1"/>
  <c r="V3" i="1" l="1"/>
  <c r="AD203" i="1" l="1"/>
  <c r="AD62" i="1"/>
  <c r="AD277" i="1"/>
  <c r="AD51" i="1"/>
  <c r="AD290" i="1"/>
  <c r="AD301" i="1"/>
  <c r="AD289" i="1"/>
  <c r="AD60" i="1"/>
  <c r="AD283" i="1"/>
  <c r="N3" i="1" l="1"/>
  <c r="R3" i="1"/>
  <c r="AD171" i="1" l="1"/>
  <c r="AE64" i="1" l="1"/>
  <c r="AE300" i="1"/>
  <c r="AE72" i="1"/>
  <c r="AE303" i="1"/>
  <c r="AE163" i="1"/>
  <c r="AE59" i="1"/>
  <c r="AE30" i="1"/>
  <c r="AE32" i="1"/>
  <c r="K6" i="1"/>
  <c r="AE6" i="1" s="1"/>
  <c r="AE293" i="1"/>
  <c r="AE264" i="1"/>
  <c r="AE268" i="1"/>
  <c r="AE26" i="1"/>
  <c r="K24" i="1"/>
  <c r="AE24" i="1" s="1"/>
  <c r="AE27" i="1"/>
  <c r="K9" i="1"/>
  <c r="K11" i="1"/>
  <c r="AE11" i="1" s="1"/>
  <c r="AE126" i="1"/>
  <c r="K8" i="1"/>
  <c r="AE8" i="1" s="1"/>
  <c r="AE58" i="1"/>
  <c r="AE43" i="1"/>
  <c r="AE48" i="1"/>
  <c r="AE46" i="1"/>
  <c r="AE169" i="1"/>
  <c r="AE171" i="1"/>
  <c r="AE167" i="1"/>
  <c r="AE188" i="1"/>
  <c r="AE195" i="1"/>
  <c r="AE322" i="1"/>
  <c r="AE295" i="1"/>
  <c r="AE310" i="1"/>
  <c r="AE305" i="1"/>
  <c r="AE318" i="1"/>
  <c r="AE297" i="1"/>
  <c r="AE174" i="1"/>
  <c r="AE186" i="1"/>
  <c r="AE179" i="1"/>
  <c r="AE207" i="1"/>
  <c r="AE80" i="1"/>
  <c r="AE89" i="1"/>
  <c r="AE109" i="1"/>
  <c r="AE85" i="1"/>
  <c r="AE73" i="1"/>
  <c r="AE81" i="1"/>
  <c r="AE44" i="1"/>
  <c r="AE110" i="1"/>
  <c r="AE127" i="1"/>
  <c r="AE125" i="1"/>
  <c r="AE123" i="1"/>
  <c r="K5" i="1"/>
  <c r="AE108" i="1"/>
  <c r="AE114" i="1"/>
  <c r="AE112" i="1"/>
  <c r="AE151" i="1"/>
  <c r="AE139" i="1"/>
  <c r="AE137" i="1"/>
  <c r="AE145" i="1"/>
  <c r="AE140" i="1"/>
  <c r="AE103" i="1"/>
  <c r="AE214" i="1"/>
  <c r="AE205" i="1"/>
  <c r="AE271" i="1"/>
  <c r="AE285" i="1"/>
  <c r="AE274" i="1"/>
  <c r="AE290" i="1"/>
  <c r="AE256" i="1"/>
  <c r="AE263" i="1"/>
  <c r="AE267" i="1"/>
  <c r="AE265" i="1"/>
  <c r="AE272" i="1"/>
  <c r="AE288" i="1"/>
  <c r="AE282" i="1"/>
  <c r="AE266" i="1"/>
  <c r="AE275" i="1"/>
  <c r="AE273" i="1"/>
  <c r="K10" i="1"/>
  <c r="AE10" i="1" s="1"/>
  <c r="AE35" i="1"/>
  <c r="AE28" i="1"/>
  <c r="AE29" i="1"/>
  <c r="K18" i="1"/>
  <c r="AE18" i="1" s="1"/>
  <c r="AE31" i="1"/>
  <c r="K25" i="1"/>
  <c r="AE25" i="1" s="1"/>
  <c r="K20" i="1"/>
  <c r="AE20" i="1" s="1"/>
  <c r="AE130" i="1"/>
  <c r="AE41" i="1"/>
  <c r="K14" i="1"/>
  <c r="AE14" i="1" s="1"/>
  <c r="K21" i="1"/>
  <c r="K22" i="1"/>
  <c r="AE22" i="1" s="1"/>
  <c r="K23" i="1"/>
  <c r="AE23" i="1" s="1"/>
  <c r="K12" i="1"/>
  <c r="AE12" i="1" s="1"/>
  <c r="AE36" i="1"/>
  <c r="AE33" i="1"/>
  <c r="K13" i="1"/>
  <c r="AE13" i="1" s="1"/>
  <c r="K15" i="1"/>
  <c r="AE15" i="1" s="1"/>
  <c r="K19" i="1"/>
  <c r="AE19" i="1" s="1"/>
  <c r="K16" i="1"/>
  <c r="AE16" i="1" s="1"/>
  <c r="AE62" i="1"/>
  <c r="AE42" i="1"/>
  <c r="AE54" i="1"/>
  <c r="AE51" i="1"/>
  <c r="AE56" i="1"/>
  <c r="AE47" i="1"/>
  <c r="AE50" i="1"/>
  <c r="AE91" i="1"/>
  <c r="AE55" i="1"/>
  <c r="AE82" i="1"/>
  <c r="AE52" i="1"/>
  <c r="AE57" i="1"/>
  <c r="AE53" i="1"/>
  <c r="AE45" i="1"/>
  <c r="AE170" i="1"/>
  <c r="AE162" i="1"/>
  <c r="AE168" i="1"/>
  <c r="AE161" i="1"/>
  <c r="AE166" i="1"/>
  <c r="AE160" i="1"/>
  <c r="AE164" i="1"/>
  <c r="AE196" i="1"/>
  <c r="AE165" i="1"/>
  <c r="AE191" i="1"/>
  <c r="AE192" i="1"/>
  <c r="AE190" i="1"/>
  <c r="AE189" i="1"/>
  <c r="AE244" i="1"/>
  <c r="AE194" i="1"/>
  <c r="AE198" i="1"/>
  <c r="AE197" i="1"/>
  <c r="AE304" i="1"/>
  <c r="AE298" i="1"/>
  <c r="AE323" i="1"/>
  <c r="AE320" i="1"/>
  <c r="AE315" i="1"/>
  <c r="AE78" i="1"/>
  <c r="AE309" i="1"/>
  <c r="AE316" i="1"/>
  <c r="AE299" i="1"/>
  <c r="AE312" i="1"/>
  <c r="K325" i="1"/>
  <c r="AE325" i="1" s="1"/>
  <c r="AE314" i="1"/>
  <c r="AE324" i="1"/>
  <c r="AE313" i="1"/>
  <c r="AE102" i="1"/>
  <c r="AE301" i="1"/>
  <c r="AE306" i="1"/>
  <c r="AE182" i="1"/>
  <c r="AE175" i="1"/>
  <c r="AE185" i="1"/>
  <c r="AE183" i="1"/>
  <c r="AE178" i="1"/>
  <c r="AE177" i="1"/>
  <c r="AE180" i="1"/>
  <c r="AE187" i="1"/>
  <c r="AE63" i="1"/>
  <c r="AE104" i="1"/>
  <c r="AE92" i="1"/>
  <c r="AE93" i="1"/>
  <c r="AE88" i="1"/>
  <c r="AE69" i="1"/>
  <c r="AE83" i="1"/>
  <c r="AE84" i="1"/>
  <c r="AE90" i="1"/>
  <c r="AE79" i="1"/>
  <c r="AE86" i="1"/>
  <c r="AE101" i="1"/>
  <c r="AE49" i="1"/>
  <c r="AE71" i="1"/>
  <c r="AE87" i="1"/>
  <c r="AE60" i="1"/>
  <c r="AE70" i="1"/>
  <c r="AE94" i="1"/>
  <c r="AE120" i="1"/>
  <c r="AE74" i="1"/>
  <c r="AE76" i="1"/>
  <c r="AE307" i="1"/>
  <c r="AE77" i="1"/>
  <c r="AE105" i="1"/>
  <c r="AE173" i="1"/>
  <c r="AE116" i="1"/>
  <c r="K17" i="1"/>
  <c r="AE17" i="1" s="1"/>
  <c r="AE308" i="1"/>
  <c r="AE122" i="1"/>
  <c r="AE128" i="1"/>
  <c r="AE172" i="1"/>
  <c r="AE129" i="1"/>
  <c r="AE121" i="1"/>
  <c r="AE107" i="1"/>
  <c r="AE118" i="1"/>
  <c r="AE115" i="1"/>
  <c r="AE124" i="1"/>
  <c r="AE135" i="1"/>
  <c r="AE106" i="1"/>
  <c r="AE99" i="1"/>
  <c r="AE319" i="1"/>
  <c r="AE119" i="1"/>
  <c r="AE113" i="1"/>
  <c r="AE111" i="1"/>
  <c r="AE100" i="1"/>
  <c r="AE142" i="1"/>
  <c r="AE138" i="1"/>
  <c r="AE146" i="1"/>
  <c r="AE144" i="1"/>
  <c r="AE150" i="1"/>
  <c r="AE133" i="1"/>
  <c r="AE147" i="1"/>
  <c r="AE152" i="1"/>
  <c r="AE143" i="1"/>
  <c r="AE153" i="1"/>
  <c r="AE149" i="1"/>
  <c r="AE134" i="1"/>
  <c r="AE141" i="1"/>
  <c r="AE200" i="1"/>
  <c r="AE202" i="1"/>
  <c r="AE209" i="1"/>
  <c r="AE206" i="1"/>
  <c r="AE203" i="1"/>
  <c r="AE213" i="1"/>
  <c r="AE208" i="1"/>
  <c r="AE199" i="1"/>
  <c r="AE204" i="1"/>
  <c r="K327" i="1"/>
  <c r="AE327" i="1" s="1"/>
  <c r="K328" i="1"/>
  <c r="AE328" i="1" s="1"/>
  <c r="K329" i="1"/>
  <c r="AE329" i="1" s="1"/>
  <c r="K330" i="1"/>
  <c r="AE330" i="1" s="1"/>
  <c r="K331" i="1"/>
  <c r="AE331" i="1" s="1"/>
  <c r="K332" i="1"/>
  <c r="AE5" i="1" l="1"/>
  <c r="AE193" i="1"/>
  <c r="AB3" i="1"/>
  <c r="X3" i="1"/>
  <c r="AE259" i="1"/>
  <c r="AD321" i="1" l="1"/>
  <c r="AD252" i="1"/>
  <c r="AD67" i="1"/>
  <c r="AE321" i="1" l="1"/>
  <c r="T3" i="1"/>
  <c r="AE67" i="1"/>
  <c r="AD230" i="1"/>
  <c r="AD181" i="1" l="1"/>
  <c r="AE181" i="1" s="1"/>
  <c r="P3" i="1"/>
  <c r="AD317" i="1" l="1"/>
  <c r="AE317" i="1" s="1"/>
  <c r="AD311" i="1" l="1"/>
  <c r="AE311" i="1" s="1"/>
  <c r="AD294" i="1"/>
  <c r="AE294" i="1" s="1"/>
  <c r="AE296" i="1"/>
  <c r="AD281" i="1"/>
  <c r="AD21" i="1" l="1"/>
  <c r="AE21" i="1" s="1"/>
  <c r="AD9" i="1"/>
  <c r="AD260" i="1"/>
  <c r="AE260" i="1" s="1"/>
  <c r="AE242" i="1"/>
  <c r="AE251" i="1"/>
  <c r="AE249" i="1"/>
  <c r="AE227" i="1"/>
  <c r="AE218" i="1"/>
  <c r="AE245" i="1"/>
  <c r="AE239" i="1"/>
  <c r="AE224" i="1"/>
  <c r="AE228" i="1"/>
  <c r="AE250" i="1"/>
  <c r="AE226" i="1"/>
  <c r="AE255" i="1"/>
  <c r="AE253" i="1"/>
  <c r="AE220" i="1"/>
  <c r="AE252" i="1"/>
  <c r="AE240" i="1"/>
  <c r="AE232" i="1"/>
  <c r="AE225" i="1"/>
  <c r="AE221" i="1"/>
  <c r="AE241" i="1"/>
  <c r="AE229" i="1"/>
  <c r="AE223" i="1"/>
  <c r="AE233" i="1"/>
  <c r="AE248" i="1"/>
  <c r="AE243" i="1"/>
  <c r="AE222" i="1"/>
  <c r="AE231" i="1"/>
  <c r="AE237" i="1"/>
  <c r="AE246" i="1"/>
  <c r="AE234" i="1"/>
  <c r="AE247" i="1"/>
  <c r="AE236" i="1"/>
  <c r="AE254" i="1"/>
  <c r="AE235" i="1"/>
  <c r="AE238" i="1"/>
  <c r="AE230" i="1"/>
  <c r="AE65" i="1"/>
  <c r="AD3" i="1" l="1"/>
  <c r="AE9" i="1"/>
  <c r="AE219" i="1"/>
  <c r="AE286" i="1" l="1"/>
  <c r="AE283" i="1"/>
  <c r="AE284" i="1"/>
  <c r="AE276" i="1"/>
  <c r="AE292" i="1"/>
  <c r="AE287" i="1"/>
  <c r="AE289" i="1"/>
  <c r="AE291" i="1"/>
  <c r="AE269" i="1"/>
  <c r="AE258" i="1"/>
  <c r="AE280" i="1"/>
  <c r="AE281" i="1"/>
  <c r="AE270" i="1"/>
  <c r="AE279" i="1"/>
  <c r="AE278" i="1"/>
  <c r="AE261" i="1"/>
  <c r="AE262" i="1"/>
  <c r="AE257" i="1"/>
  <c r="AE277" i="1" l="1"/>
  <c r="AE3" i="1" l="1"/>
</calcChain>
</file>

<file path=xl/sharedStrings.xml><?xml version="1.0" encoding="utf-8"?>
<sst xmlns="http://schemas.openxmlformats.org/spreadsheetml/2006/main" count="1686" uniqueCount="1191">
  <si>
    <t>Sr.1</t>
  </si>
  <si>
    <t>Student Name</t>
  </si>
  <si>
    <t>Father's Name</t>
  </si>
  <si>
    <t>Contact #</t>
  </si>
  <si>
    <t>Address</t>
  </si>
  <si>
    <t>Package Decided</t>
  </si>
  <si>
    <t>Annual Charges</t>
  </si>
  <si>
    <t>1st Installment</t>
  </si>
  <si>
    <t>2nd Installment</t>
  </si>
  <si>
    <t>3rd Installment</t>
  </si>
  <si>
    <t>4th Installment</t>
  </si>
  <si>
    <t>Remaining</t>
  </si>
  <si>
    <t>Remarks</t>
  </si>
  <si>
    <t>Superior College Samundri</t>
  </si>
  <si>
    <t>Tuition Fee</t>
  </si>
  <si>
    <t>Transport</t>
  </si>
  <si>
    <t>Section</t>
  </si>
  <si>
    <t>541 GB</t>
  </si>
  <si>
    <t>390 GB</t>
  </si>
  <si>
    <t>466 GB</t>
  </si>
  <si>
    <t>136 GB</t>
  </si>
  <si>
    <t>467 GB</t>
  </si>
  <si>
    <t>203 GB</t>
  </si>
  <si>
    <t>202 GB</t>
  </si>
  <si>
    <t>478 GB</t>
  </si>
  <si>
    <t>139 GB</t>
  </si>
  <si>
    <t>453 GB</t>
  </si>
  <si>
    <t>444 GB</t>
  </si>
  <si>
    <t>465 GB</t>
  </si>
  <si>
    <t>440 GB</t>
  </si>
  <si>
    <t>142 GB</t>
  </si>
  <si>
    <t>218 GB</t>
  </si>
  <si>
    <t>143 GB</t>
  </si>
  <si>
    <t>134 GB</t>
  </si>
  <si>
    <t>464 GB</t>
  </si>
  <si>
    <t>481 GB</t>
  </si>
  <si>
    <t>484 GB</t>
  </si>
  <si>
    <t>388 GB</t>
  </si>
  <si>
    <t>463 GB</t>
  </si>
  <si>
    <t>543 GB</t>
  </si>
  <si>
    <t>389 GB</t>
  </si>
  <si>
    <t>219 GB</t>
  </si>
  <si>
    <t>220 GB</t>
  </si>
  <si>
    <t>G.T</t>
  </si>
  <si>
    <t>Total Recieved</t>
  </si>
  <si>
    <t>Roll No</t>
  </si>
  <si>
    <t>FEHA MURTAZA</t>
  </si>
  <si>
    <t>GHULAM MURTAZA</t>
  </si>
  <si>
    <t>AYESHA MURSALEEN</t>
  </si>
  <si>
    <t>M MURSALEEN</t>
  </si>
  <si>
    <t>KASHMAIL IRFAN</t>
  </si>
  <si>
    <t>MUHAMMAD IRFAN</t>
  </si>
  <si>
    <t>WAJIHA FATIMA</t>
  </si>
  <si>
    <t>TOUQEER AHMAD</t>
  </si>
  <si>
    <t>SABA FIRDOUS</t>
  </si>
  <si>
    <t>MUHAMMAD SARDAR</t>
  </si>
  <si>
    <t>FARWA JAVED</t>
  </si>
  <si>
    <t>JAVED IQBAL</t>
  </si>
  <si>
    <t>AFRAH ALVI</t>
  </si>
  <si>
    <t>MUHAMMAD YASIR ALVI</t>
  </si>
  <si>
    <t>ANFAAL ASHIQ</t>
  </si>
  <si>
    <t>ASHIQ ALI</t>
  </si>
  <si>
    <t>RAMIZA ASIF</t>
  </si>
  <si>
    <t>ASIF ALI</t>
  </si>
  <si>
    <t>EZZA RUBAB</t>
  </si>
  <si>
    <t>TASAWAR ABBAS</t>
  </si>
  <si>
    <t>HAMNA ANDLEEB</t>
  </si>
  <si>
    <t>MUHAMMAD MAJIDULLAH</t>
  </si>
  <si>
    <t>SHAKEELA SHAHEEN</t>
  </si>
  <si>
    <t>MUHAMMAD MANSHA</t>
  </si>
  <si>
    <t xml:space="preserve">HOORAIN FATIMA </t>
  </si>
  <si>
    <t>MUHAMMAD NASEEM</t>
  </si>
  <si>
    <t>DUA IMRAN</t>
  </si>
  <si>
    <t>IMRAN SARWAR</t>
  </si>
  <si>
    <t>ZAINAB MASOOD</t>
  </si>
  <si>
    <t>MASOOOD</t>
  </si>
  <si>
    <t>ALIA ASLAM</t>
  </si>
  <si>
    <t>MUHAMMAD ASLAM</t>
  </si>
  <si>
    <t>ALISHA SALEEM</t>
  </si>
  <si>
    <t>MUHAMMAD SALEEM</t>
  </si>
  <si>
    <t>HABIBA SAKHAWAT</t>
  </si>
  <si>
    <t>SAKHAWAT ALI</t>
  </si>
  <si>
    <t>MAHEEN MUNEER</t>
  </si>
  <si>
    <t>MUNEEER</t>
  </si>
  <si>
    <t>SIDRA SHOUKAT</t>
  </si>
  <si>
    <t>SHOUKAT ALI</t>
  </si>
  <si>
    <t>MUNEEBA AHMAD</t>
  </si>
  <si>
    <t>AHMAD HAYAT</t>
  </si>
  <si>
    <t>FATIMA SHAHID</t>
  </si>
  <si>
    <t>MUHAMMAD SHAHID PARVAIZ</t>
  </si>
  <si>
    <t>AQSA JAMIL</t>
  </si>
  <si>
    <t>MUHAMMAD JAMIL</t>
  </si>
  <si>
    <t>MARYAM SULTAN</t>
  </si>
  <si>
    <t>SULTAN  MEHMOOD</t>
  </si>
  <si>
    <t xml:space="preserve">EZA FAKHRA </t>
  </si>
  <si>
    <t>GHULAM HUSSAIN</t>
  </si>
  <si>
    <t>UMM E HABIBA</t>
  </si>
  <si>
    <t>MUHAMMAD JAVED ANWAR</t>
  </si>
  <si>
    <t>HINA TARIQ</t>
  </si>
  <si>
    <t>TARIQ MEHMOOD</t>
  </si>
  <si>
    <t>AROOJ FATIMA</t>
  </si>
  <si>
    <t>GHULAM GHOUS</t>
  </si>
  <si>
    <t>ZOHA RASHEED</t>
  </si>
  <si>
    <t>RASHEED</t>
  </si>
  <si>
    <t>KHADIJA IRFAN</t>
  </si>
  <si>
    <t>ZAINAB BIBI</t>
  </si>
  <si>
    <t>FAYYAZ AHMAD</t>
  </si>
  <si>
    <t>LAIBA AKBAR</t>
  </si>
  <si>
    <t>AKBAR ALI</t>
  </si>
  <si>
    <t>AROOBA RAFIQUE</t>
  </si>
  <si>
    <t>MUHAMMAD RAFIQUE</t>
  </si>
  <si>
    <t>ALEENA NADEEM</t>
  </si>
  <si>
    <t>MUHAMMAD NADEEM</t>
  </si>
  <si>
    <t>NOOR UL EMAN</t>
  </si>
  <si>
    <t>BARIRA ASLAM</t>
  </si>
  <si>
    <t xml:space="preserve">HUSNA </t>
  </si>
  <si>
    <t>FAKHAR ABBAS</t>
  </si>
  <si>
    <t>HAFSA KHIZAR</t>
  </si>
  <si>
    <t>KHIZER HAYAT</t>
  </si>
  <si>
    <t>MINAHIL FATIMA</t>
  </si>
  <si>
    <t>IKHLAQ AHMAD</t>
  </si>
  <si>
    <t>EMAAN FATIMA</t>
  </si>
  <si>
    <t>RAIZ AHMAD</t>
  </si>
  <si>
    <t>IMAN RAMZAN</t>
  </si>
  <si>
    <t>RAMZAN</t>
  </si>
  <si>
    <t>ISHWA YOUSAF</t>
  </si>
  <si>
    <t>MUHAMMAD YOUSAF</t>
  </si>
  <si>
    <t>ROMAIZAH</t>
  </si>
  <si>
    <t>MUHAMMAD AMJAD</t>
  </si>
  <si>
    <t>AMINA SAJJID</t>
  </si>
  <si>
    <t>MUHAMMAD BOTTA</t>
  </si>
  <si>
    <t>NOOR FATIMA</t>
  </si>
  <si>
    <t>MEHWISH ALI SHER</t>
  </si>
  <si>
    <t>ALI SHER</t>
  </si>
  <si>
    <t>NAWAB TOWN</t>
  </si>
  <si>
    <t>QASIM ROAD</t>
  </si>
  <si>
    <t>KAJWANI</t>
  </si>
  <si>
    <t>HC 2</t>
  </si>
  <si>
    <t>544 gb</t>
  </si>
  <si>
    <t>SAMUNDRI</t>
  </si>
  <si>
    <t>442 GB</t>
  </si>
  <si>
    <t>452 GB</t>
  </si>
  <si>
    <t>545 GB</t>
  </si>
  <si>
    <t>ASHRAFABAD</t>
  </si>
  <si>
    <t>0316-7100325</t>
  </si>
  <si>
    <t xml:space="preserve">AMAMA KHAN </t>
  </si>
  <si>
    <t>RANA TASLEEM</t>
  </si>
  <si>
    <t>NIMRA BASHIR</t>
  </si>
  <si>
    <t>BASHIR AHMAD ZAHID</t>
  </si>
  <si>
    <t>449 GB</t>
  </si>
  <si>
    <t>MUNTAHA NOOR</t>
  </si>
  <si>
    <t>MUHAMMAD RIZWAN</t>
  </si>
  <si>
    <t>RASHMAL IMRAN</t>
  </si>
  <si>
    <t>IMRAN SHARIF</t>
  </si>
  <si>
    <t>ROMAAN AFZAAL</t>
  </si>
  <si>
    <t>MUHAMMAD AFZAAL</t>
  </si>
  <si>
    <t>MARYAM NAZIR</t>
  </si>
  <si>
    <t>NAZIR AHMAD</t>
  </si>
  <si>
    <t>ANAMTA HAYAT</t>
  </si>
  <si>
    <t>MUHAMMAD HAYAT KHAN</t>
  </si>
  <si>
    <t>UME RUMAN</t>
  </si>
  <si>
    <t>SHAHID ALI</t>
  </si>
  <si>
    <t>MARIUM IDREES</t>
  </si>
  <si>
    <t>IDREES AHMED</t>
  </si>
  <si>
    <t>FATIMA ASHRAF</t>
  </si>
  <si>
    <t>MUHAMMAD ASHRAF</t>
  </si>
  <si>
    <t>AREEBA SHAHID</t>
  </si>
  <si>
    <t>MARIYAM ZAFAR</t>
  </si>
  <si>
    <t>ZAFAR ALI</t>
  </si>
  <si>
    <t>BUSHRA ILYAS</t>
  </si>
  <si>
    <t>MUHAMMAD ILYAS</t>
  </si>
  <si>
    <t>137 ROAD</t>
  </si>
  <si>
    <t xml:space="preserve">NOOR FATIMA </t>
  </si>
  <si>
    <t>AZIZULLAH</t>
  </si>
  <si>
    <t>KASHIF  LATIF</t>
  </si>
  <si>
    <t>AMINA BABAR</t>
  </si>
  <si>
    <t>BABAR IFTIKHAR</t>
  </si>
  <si>
    <t>MEMONA NAWAZ</t>
  </si>
  <si>
    <t>MUHAMMAD NAWAZ</t>
  </si>
  <si>
    <t>AREEBA SHOUKAT</t>
  </si>
  <si>
    <t>SANA YOUSAF</t>
  </si>
  <si>
    <t xml:space="preserve">YOUSAF </t>
  </si>
  <si>
    <t>KANJWANI</t>
  </si>
  <si>
    <t>SEHAR GHAFFAR</t>
  </si>
  <si>
    <t>ABDUL GHAFFAR</t>
  </si>
  <si>
    <t>ZARA AKBAR</t>
  </si>
  <si>
    <t>MUHAMMAD AKBAR</t>
  </si>
  <si>
    <t>AYESHA PARVEEN</t>
  </si>
  <si>
    <t>MUHAMMAD ASIF</t>
  </si>
  <si>
    <t>UMME KHADIJA</t>
  </si>
  <si>
    <t>MUMTAZ ALI</t>
  </si>
  <si>
    <t xml:space="preserve">SHUMAILA </t>
  </si>
  <si>
    <t>ABDUL MAJEED</t>
  </si>
  <si>
    <t>SAWAIRA NASEER</t>
  </si>
  <si>
    <t>NASEER AHMAD</t>
  </si>
  <si>
    <t xml:space="preserve">EMAN FATIMA </t>
  </si>
  <si>
    <t>SABIR HUSSAIN</t>
  </si>
  <si>
    <t>HIRA NOOR</t>
  </si>
  <si>
    <t>ZULFIQAR ALI</t>
  </si>
  <si>
    <t>AFIA ABDUL SAMAD</t>
  </si>
  <si>
    <t>ABDUL SAMAD</t>
  </si>
  <si>
    <t>MAROOSH FATIMA</t>
  </si>
  <si>
    <t>JAFIR IQBAL</t>
  </si>
  <si>
    <t>AMINA BIBI</t>
  </si>
  <si>
    <t>MUHAMMAD BINYAMEEN</t>
  </si>
  <si>
    <t>MUNIHA MUZAMMIL</t>
  </si>
  <si>
    <t>MUZAMMIL</t>
  </si>
  <si>
    <t>FIZA IMRAN</t>
  </si>
  <si>
    <t>M IMRAN</t>
  </si>
  <si>
    <t>KAINAT ZAHID</t>
  </si>
  <si>
    <t>HAFIZ KHALID MAHMOOD</t>
  </si>
  <si>
    <t>HUMA KHIZAR</t>
  </si>
  <si>
    <t>KHIZAR HAYAT</t>
  </si>
  <si>
    <t>0345-3435249</t>
  </si>
  <si>
    <t>544 GB</t>
  </si>
  <si>
    <t>MALEEHA LATIF</t>
  </si>
  <si>
    <t>MUHAMMAD LATIF</t>
  </si>
  <si>
    <t>467 B</t>
  </si>
  <si>
    <t>YASHAL NOOR</t>
  </si>
  <si>
    <t>SEHAR IQBAL</t>
  </si>
  <si>
    <t>MUHAMMAD IQBAL</t>
  </si>
  <si>
    <t>MINAHIL NAWAZ</t>
  </si>
  <si>
    <t>MAHNOOR RIAZ</t>
  </si>
  <si>
    <t>MUHAMMAD RIAZ</t>
  </si>
  <si>
    <t>ZAINAB JAMEEL</t>
  </si>
  <si>
    <t>MUHAMMAD JAMEL</t>
  </si>
  <si>
    <t>TUBA TARIQ</t>
  </si>
  <si>
    <t>AQSA NASIR</t>
  </si>
  <si>
    <t>NASIR ALI</t>
  </si>
  <si>
    <t>MEHWISH HAMEED</t>
  </si>
  <si>
    <t>ABDUL HAMEED</t>
  </si>
  <si>
    <t>SARA KHALID</t>
  </si>
  <si>
    <t>MUHAMMAD KHALID</t>
  </si>
  <si>
    <t>SABA FATIMA</t>
  </si>
  <si>
    <t>MUHAMMAD AFZAL</t>
  </si>
  <si>
    <t>LAIBA ALI</t>
  </si>
  <si>
    <t>ASIF ALI AKASH</t>
  </si>
  <si>
    <t>MANAHIL ADIL</t>
  </si>
  <si>
    <t>ADIL MEHMOOD</t>
  </si>
  <si>
    <t>RABIA IRFAN</t>
  </si>
  <si>
    <t>M IRFAN</t>
  </si>
  <si>
    <t>ZAINAB IRFAN</t>
  </si>
  <si>
    <t>IRFAN ASHRAF</t>
  </si>
  <si>
    <t>ZIA MARKET</t>
  </si>
  <si>
    <t>MEERAB JAVED</t>
  </si>
  <si>
    <t>JAVED AKHTAR</t>
  </si>
  <si>
    <t>RANA FRAZ BILAL</t>
  </si>
  <si>
    <t>RANA BILAL HUSSAIN</t>
  </si>
  <si>
    <t>MUHAMMAD MUEEZ RAZA</t>
  </si>
  <si>
    <t>MUHAMMAD RAZA</t>
  </si>
  <si>
    <t>483 GB</t>
  </si>
  <si>
    <t>HUSSAIN ASHRAF</t>
  </si>
  <si>
    <t>MUHAMMAD ABUBAKAR SADDIQUE</t>
  </si>
  <si>
    <t>MUHAMMAD FAROOQ</t>
  </si>
  <si>
    <t>YOUSAF ALI</t>
  </si>
  <si>
    <t>527 GB</t>
  </si>
  <si>
    <t>HAMMAD NAWAZ</t>
  </si>
  <si>
    <t>ZAIN ASHIQ</t>
  </si>
  <si>
    <t>MUHAMMAD ASHIQ</t>
  </si>
  <si>
    <t>ZAYYAN AHMAD</t>
  </si>
  <si>
    <t>SALEEM NAWAZ</t>
  </si>
  <si>
    <t>ABDULLAH ZAHID</t>
  </si>
  <si>
    <t>ZAHID AHMAD KHAN</t>
  </si>
  <si>
    <t>485 GB</t>
  </si>
  <si>
    <t xml:space="preserve">M AHSAN </t>
  </si>
  <si>
    <t>M. IMRAN</t>
  </si>
  <si>
    <t>ABDULLAH FAROOQ</t>
  </si>
  <si>
    <t>AMJAD FAROOQ</t>
  </si>
  <si>
    <t>ZOHAIB HUSSAIN</t>
  </si>
  <si>
    <t>MUHAMMAD MOHSIN HUSSAIN</t>
  </si>
  <si>
    <t>MUHAMMAD HASSAN MUSTAFA</t>
  </si>
  <si>
    <t>GHULAM MUSTAFA ANWAR</t>
  </si>
  <si>
    <t>373 GB</t>
  </si>
  <si>
    <t>MUHAMMAD AHSAN</t>
  </si>
  <si>
    <t>HABIBULLAH</t>
  </si>
  <si>
    <t>AHMAD RAZA</t>
  </si>
  <si>
    <t>SAAD MEHMOOD</t>
  </si>
  <si>
    <t>GHULAM MEHMOOD</t>
  </si>
  <si>
    <t>MUJEEB TARIQ</t>
  </si>
  <si>
    <t>217 gb</t>
  </si>
  <si>
    <t>HAFIZ MUHAMMAD SOHAIB</t>
  </si>
  <si>
    <t>KHALIL UR REHMAN</t>
  </si>
  <si>
    <t>466 ROAD</t>
  </si>
  <si>
    <t>MUHAMMAD HAMMAD</t>
  </si>
  <si>
    <t>MUHAMMAD IFTIKHAR</t>
  </si>
  <si>
    <t>M AHSAN SALEEM</t>
  </si>
  <si>
    <t>M SALEEM</t>
  </si>
  <si>
    <t>MUHAMMAD ABUBAKAR</t>
  </si>
  <si>
    <t>MUHAMMAD IBRAR KHAN</t>
  </si>
  <si>
    <t>TABASSUM RASOOL</t>
  </si>
  <si>
    <t>MUHAMMAD ISMAIL</t>
  </si>
  <si>
    <t>MUHAMMAD ATHER NASEEB</t>
  </si>
  <si>
    <t>MUHAMMAD TARIQ</t>
  </si>
  <si>
    <t>213 GB</t>
  </si>
  <si>
    <t>SYED RYEET ABBAS</t>
  </si>
  <si>
    <t xml:space="preserve">SYED KHAWER ABBAS </t>
  </si>
  <si>
    <t>MUHAMMAD UMER</t>
  </si>
  <si>
    <t>ABDUL ALEEM</t>
  </si>
  <si>
    <t>476 GB</t>
  </si>
  <si>
    <t>NAVEED ANJUM</t>
  </si>
  <si>
    <t>MUHAMMAD SHAKEEL AHMAD</t>
  </si>
  <si>
    <t>MUHAMMAD SUFYAN</t>
  </si>
  <si>
    <t>MUHAMMAD SAMI</t>
  </si>
  <si>
    <t>MUKHTAR ALI</t>
  </si>
  <si>
    <t>MUHAMMAD HAMMAD NAZIR</t>
  </si>
  <si>
    <t>MUHAMMAD FAIZAN ANWAR</t>
  </si>
  <si>
    <t>MUHAMMAD ANWAR</t>
  </si>
  <si>
    <t xml:space="preserve">FAIZAN </t>
  </si>
  <si>
    <t>MUHAMMAD HUSSAIN</t>
  </si>
  <si>
    <t>NEW SAMUNDRI</t>
  </si>
  <si>
    <t>IHSANULLAH</t>
  </si>
  <si>
    <t>SAIFULLAH</t>
  </si>
  <si>
    <t>AKASHA FAROOQ</t>
  </si>
  <si>
    <t>SANAULLAH</t>
  </si>
  <si>
    <t>GOJRA ROAD</t>
  </si>
  <si>
    <t>WASIF ALI</t>
  </si>
  <si>
    <t>MUHAMMAD ALI</t>
  </si>
  <si>
    <t>615 GB</t>
  </si>
  <si>
    <t>UMAR SADDIQUE</t>
  </si>
  <si>
    <t>MUHAMMAD SADDIQUE</t>
  </si>
  <si>
    <t>ARSLAN BASHIR</t>
  </si>
  <si>
    <t>MUHAMMAD BASHIR</t>
  </si>
  <si>
    <t>453  GB</t>
  </si>
  <si>
    <t>FARRUKH IJAZ</t>
  </si>
  <si>
    <t>IJAZ AHMAD</t>
  </si>
  <si>
    <t xml:space="preserve">ALI SHAN </t>
  </si>
  <si>
    <t>ZOHAIB ANWAR</t>
  </si>
  <si>
    <t>RIAZ AHMAD KHAN</t>
  </si>
  <si>
    <t>MUHAMMAD SHERAZ</t>
  </si>
  <si>
    <t>ANEES AHMAD</t>
  </si>
  <si>
    <t>ZAID</t>
  </si>
  <si>
    <t>MUBASHIR IQBAL</t>
  </si>
  <si>
    <t>AHTISHAM ALI</t>
  </si>
  <si>
    <t>MUHAMMAD ARIF</t>
  </si>
  <si>
    <t>ZAID BILAL</t>
  </si>
  <si>
    <t>SHAHID BILAL</t>
  </si>
  <si>
    <t>SAMEER SHAHID</t>
  </si>
  <si>
    <t>MUHAMMAD KASHAN</t>
  </si>
  <si>
    <t>ASIF MEHMOOD</t>
  </si>
  <si>
    <t>ZAIN UL ABIDEEN</t>
  </si>
  <si>
    <t>M IFTIKHAR</t>
  </si>
  <si>
    <t>MUHAMMAD ZAID</t>
  </si>
  <si>
    <t>MUHAMMAD AKRAM</t>
  </si>
  <si>
    <t>MUAHMMAD HASSAN SHAHZAD</t>
  </si>
  <si>
    <t>ZAHID ALI</t>
  </si>
  <si>
    <t>AMMAR WAHEED</t>
  </si>
  <si>
    <t>ABDUL WAHEED</t>
  </si>
  <si>
    <t>ARHAM SAEED</t>
  </si>
  <si>
    <t>SAEED NAZIR</t>
  </si>
  <si>
    <t>UZAIR AHMAD</t>
  </si>
  <si>
    <t>WAQAR AHMAD</t>
  </si>
  <si>
    <t>M UMER JAVAID</t>
  </si>
  <si>
    <t>M JAVAID</t>
  </si>
  <si>
    <t>MUHAMMAD SUDAIS</t>
  </si>
  <si>
    <t>ABDUL QAYYUM</t>
  </si>
  <si>
    <t>MUHAMMAD AHMAD</t>
  </si>
  <si>
    <t>MUHAMMAD IMRAN</t>
  </si>
  <si>
    <t>0346-1920910</t>
  </si>
  <si>
    <t>MUHAMMAD NABRAS</t>
  </si>
  <si>
    <t>RASHID MASOOD</t>
  </si>
  <si>
    <t>HANZALA</t>
  </si>
  <si>
    <t>M SARWAR</t>
  </si>
  <si>
    <t>AHTISHAM UL HAQ</t>
  </si>
  <si>
    <t>INAM UL HAQ</t>
  </si>
  <si>
    <t>MOHSIN ABBAS</t>
  </si>
  <si>
    <t>MUHAMMAD GUFRAN</t>
  </si>
  <si>
    <t>MUHAMMAD YAMEEN KHAN</t>
  </si>
  <si>
    <t>TAYYAB</t>
  </si>
  <si>
    <t>IMDADULLAH</t>
  </si>
  <si>
    <t>BAKIR MEHDI</t>
  </si>
  <si>
    <t>QAMAR UL HASSAN</t>
  </si>
  <si>
    <t>ABDUL REHMAN</t>
  </si>
  <si>
    <t>MUHAMMAD RAMZAN</t>
  </si>
  <si>
    <t>HAFIZ AQIB</t>
  </si>
  <si>
    <t>MUSHTAQ AHMAD</t>
  </si>
  <si>
    <t>IHTISHAM ABDUREHMAN</t>
  </si>
  <si>
    <t>MAQBOOL AHMED</t>
  </si>
  <si>
    <t>MUHAMMAD JOHAR NAWAZ</t>
  </si>
  <si>
    <t>HAQ NAWAZ</t>
  </si>
  <si>
    <t>NADEEM IQBAL</t>
  </si>
  <si>
    <t>RAO ARHAM FAIZ</t>
  </si>
  <si>
    <t>NASIR</t>
  </si>
  <si>
    <t>MUHAMMAD AHMAD RAMZAN</t>
  </si>
  <si>
    <t xml:space="preserve">MUHAMMAD </t>
  </si>
  <si>
    <t>MUHAMMAD ABDULLAH</t>
  </si>
  <si>
    <t>FAIZAN JAVED</t>
  </si>
  <si>
    <t>MUHAMMAD SAMRAN</t>
  </si>
  <si>
    <t>SAFDAR ALI</t>
  </si>
  <si>
    <t>ZAIN WAQAR</t>
  </si>
  <si>
    <t>MUHAMMAD SHAHWAIZ</t>
  </si>
  <si>
    <t>MUHAMMAD TALHA</t>
  </si>
  <si>
    <t>KASHIF RAZA</t>
  </si>
  <si>
    <t>M SADIQUE ARAIN</t>
  </si>
  <si>
    <t>MUHAMMAD  MAMOON</t>
  </si>
  <si>
    <t>MUHAMMAD FAIZAN</t>
  </si>
  <si>
    <t>RANA M. ABDULLAH KHALIL</t>
  </si>
  <si>
    <t>52 GB</t>
  </si>
  <si>
    <t>REHMY SHAH</t>
  </si>
  <si>
    <t>SARDAR TALAL</t>
  </si>
  <si>
    <t>HAFIZ MUHAMMAD UMAR</t>
  </si>
  <si>
    <t>FAIZAN SABIR</t>
  </si>
  <si>
    <t>ASHFAQ SABIR</t>
  </si>
  <si>
    <t>ZAIN  ABDULLAH</t>
  </si>
  <si>
    <t>SHOUKAT HAYYAT</t>
  </si>
  <si>
    <t xml:space="preserve">ABDUL WAHAB </t>
  </si>
  <si>
    <t>MUHAMMAD  ISHTIAQ</t>
  </si>
  <si>
    <t>ABDULLAH PASWAL</t>
  </si>
  <si>
    <t>NAEEM PASWAL</t>
  </si>
  <si>
    <t xml:space="preserve">MUEEZULLAH </t>
  </si>
  <si>
    <t>MUHAMMAD ABBAS</t>
  </si>
  <si>
    <t>RAVI MUHALA</t>
  </si>
  <si>
    <t>TALHA HAMDAN</t>
  </si>
  <si>
    <t xml:space="preserve">ALI HAMZA </t>
  </si>
  <si>
    <t>ASHRAF ALI</t>
  </si>
  <si>
    <t>ABDULLAH ARSHAD</t>
  </si>
  <si>
    <t>MUHAMMAD ARSHAD</t>
  </si>
  <si>
    <t>141 GB</t>
  </si>
  <si>
    <t>HUZAIFA AFZAL</t>
  </si>
  <si>
    <t>AHMAD</t>
  </si>
  <si>
    <t>MUHAMMAD MOSAB</t>
  </si>
  <si>
    <t>WAHEED AKHTAR</t>
  </si>
  <si>
    <t>MOHSIN ALI</t>
  </si>
  <si>
    <t>0329-1710533</t>
  </si>
  <si>
    <t>AHMAD KASHIF</t>
  </si>
  <si>
    <t>KASHIF JAVED</t>
  </si>
  <si>
    <t>ALI AHMED TARIQ</t>
  </si>
  <si>
    <t>ALI HAIDER</t>
  </si>
  <si>
    <t>ABRAR HUSSAIN</t>
  </si>
  <si>
    <t>ALI HASSAN</t>
  </si>
  <si>
    <t>RIAZ AHMAD</t>
  </si>
  <si>
    <t>ABDUL WAHID</t>
  </si>
  <si>
    <t>ABDUL SHAKOOR</t>
  </si>
  <si>
    <t>ABU BAKAR ILYAS</t>
  </si>
  <si>
    <t>137 GB</t>
  </si>
  <si>
    <t>HAMZA SAHAFIQUE</t>
  </si>
  <si>
    <t>SHAFIQUE AHMAD</t>
  </si>
  <si>
    <t>0326-1130452</t>
  </si>
  <si>
    <t>ALI  HAIDER</t>
  </si>
  <si>
    <t>MUHAMMAD IDRESS</t>
  </si>
  <si>
    <t xml:space="preserve">GUL ZAMAN KHAN </t>
  </si>
  <si>
    <t>ABDUL HAMEED KHAN</t>
  </si>
  <si>
    <t>MUHAMMAD REHMAN</t>
  </si>
  <si>
    <t>LIAQAT ALI</t>
  </si>
  <si>
    <t>441 GB</t>
  </si>
  <si>
    <t>MUHAMMAD RAFAY</t>
  </si>
  <si>
    <t>M. HAMMAD</t>
  </si>
  <si>
    <t xml:space="preserve"> GULZAR AHMAD</t>
  </si>
  <si>
    <t>0329-1371142</t>
  </si>
  <si>
    <t>MUHAMMAD ZEESHAN</t>
  </si>
  <si>
    <t>MUHAMMAD RAMEEZ KHAN</t>
  </si>
  <si>
    <t>MUHAMMAD SHAKEEL KHAN</t>
  </si>
  <si>
    <t>MUHAMMAD MUSTAFA</t>
  </si>
  <si>
    <t>MUHAMMAD ZAULFIQAR</t>
  </si>
  <si>
    <t>M MUNEEB TARIQ</t>
  </si>
  <si>
    <t>MUHAMMAD WASEEM</t>
  </si>
  <si>
    <t>456 GB</t>
  </si>
  <si>
    <t>SAIM SHAFIQ</t>
  </si>
  <si>
    <t>SHAFIQ UR REHMAN</t>
  </si>
  <si>
    <t>SARDAR MUHAMMAD SAAD</t>
  </si>
  <si>
    <t>ISRAR AHMAD</t>
  </si>
  <si>
    <t>ZEESHAN ALI</t>
  </si>
  <si>
    <t>MUSHTAQ ALI</t>
  </si>
  <si>
    <t>50 GB</t>
  </si>
  <si>
    <t xml:space="preserve">SAMAR ABBAS </t>
  </si>
  <si>
    <t>ABDUL KHALIQ</t>
  </si>
  <si>
    <t>MUHAMMAD HAMZA YOUNIS</t>
  </si>
  <si>
    <t>MUHAMMAD YOUNIS</t>
  </si>
  <si>
    <t>HAFIZ UMAIS NISAR</t>
  </si>
  <si>
    <t>HAFIZ NISAR AHMAD</t>
  </si>
  <si>
    <t>MUHAMMAD IKRAM</t>
  </si>
  <si>
    <t>IMRAN KHAN</t>
  </si>
  <si>
    <t>HAMZA ISHFAQ</t>
  </si>
  <si>
    <t>MUHAMMAD ISHFAQ</t>
  </si>
  <si>
    <t>GULZAR AHMAD</t>
  </si>
  <si>
    <t>UMAIR LIAQAT</t>
  </si>
  <si>
    <t xml:space="preserve">MUHAMMAD HARIS </t>
  </si>
  <si>
    <t>MUHAMMAD SAAD JAVAID</t>
  </si>
  <si>
    <t>JAVAID IQBAL</t>
  </si>
  <si>
    <t>ASAD ALI</t>
  </si>
  <si>
    <t>ABDULLAH NAWAZ</t>
  </si>
  <si>
    <t>M  FIAZ ABDULLAH</t>
  </si>
  <si>
    <t>MIAN MUHAMMAD RIAZ</t>
  </si>
  <si>
    <t>MUHAMMAD WASIF</t>
  </si>
  <si>
    <t>SARDAR</t>
  </si>
  <si>
    <t>MUHAMMAD ALEEM SAJID</t>
  </si>
  <si>
    <t>MUHAMMD SAJID</t>
  </si>
  <si>
    <t>ABDUL WAHAB</t>
  </si>
  <si>
    <t>ABDUL RAZZAQ</t>
  </si>
  <si>
    <t>M. SOHAIB</t>
  </si>
  <si>
    <t>ABDUL SATTAR</t>
  </si>
  <si>
    <t>USMAN FAROOQ</t>
  </si>
  <si>
    <t>TAHA HUSSAIN</t>
  </si>
  <si>
    <t>GHULAM MUSTAFA</t>
  </si>
  <si>
    <t>ALI MURTAZA</t>
  </si>
  <si>
    <t>MUHAMMAD FAHAD</t>
  </si>
  <si>
    <t>MUHAMMAD ADREES</t>
  </si>
  <si>
    <t>DUA FATIMA</t>
  </si>
  <si>
    <t>RAO MUJAHID</t>
  </si>
  <si>
    <t>C-1</t>
  </si>
  <si>
    <t>C-3</t>
  </si>
  <si>
    <t>C-4</t>
  </si>
  <si>
    <t>C-5</t>
  </si>
  <si>
    <t>M-1</t>
  </si>
  <si>
    <t>FARRUKH NAZIR</t>
  </si>
  <si>
    <t xml:space="preserve"> C-2Eco </t>
  </si>
  <si>
    <t>E-1</t>
  </si>
  <si>
    <t>I.Com 1</t>
  </si>
  <si>
    <t>IT-1</t>
  </si>
  <si>
    <t>3009807586/03158719773</t>
  </si>
  <si>
    <t>M-4</t>
  </si>
  <si>
    <t>GHULAM HAIDER</t>
  </si>
  <si>
    <t>MUHAMMAD RASHEED</t>
  </si>
  <si>
    <t>E-2</t>
  </si>
  <si>
    <t>AFTAB MAHMOOD</t>
  </si>
  <si>
    <t>HASSAN JAVED</t>
  </si>
  <si>
    <t xml:space="preserve">MUHAMMAD JAVED </t>
  </si>
  <si>
    <t>NOOR HASSAN</t>
  </si>
  <si>
    <t>542 GB</t>
  </si>
  <si>
    <t>MUHAMMAD HUSSNAIN</t>
  </si>
  <si>
    <t>SALAHUDIN</t>
  </si>
  <si>
    <t>DIJKOT</t>
  </si>
  <si>
    <t>MUHAMMAD HASSAM</t>
  </si>
  <si>
    <t>M ASLAM</t>
  </si>
  <si>
    <t>UZAIR ANWAR</t>
  </si>
  <si>
    <t xml:space="preserve">ZULFIQAR </t>
  </si>
  <si>
    <t>SALAMAT ALI</t>
  </si>
  <si>
    <t>SHAHID REHMAN</t>
  </si>
  <si>
    <t>HAMZA ISLAM</t>
  </si>
  <si>
    <t>ABDUL ISLAM</t>
  </si>
  <si>
    <t>SAMIULLAH</t>
  </si>
  <si>
    <t>MUHAMMAD NASARULLAH</t>
  </si>
  <si>
    <t>MUHAMMAD SUBHAN</t>
  </si>
  <si>
    <t>SARFRAZ AHMAD</t>
  </si>
  <si>
    <t>IT-2</t>
  </si>
  <si>
    <t>1st  Year Student Details Session 2025 -2027</t>
  </si>
  <si>
    <t>27-3-25 r#1901</t>
  </si>
  <si>
    <t>3-4-25 R#1902</t>
  </si>
  <si>
    <t>5-4-25 r#1904</t>
  </si>
  <si>
    <t>8-4-25 r#1906</t>
  </si>
  <si>
    <t>8-4-25 r#1907</t>
  </si>
  <si>
    <t>8-4-25 R#1908</t>
  </si>
  <si>
    <t>8-4-25 r#1909</t>
  </si>
  <si>
    <t>8-4-25 r#1910</t>
  </si>
  <si>
    <t>8-4-25 R#1911</t>
  </si>
  <si>
    <t>8-4-25 r#1912</t>
  </si>
  <si>
    <t>8-4-25 r#1913</t>
  </si>
  <si>
    <t>10-4-25 r#1914</t>
  </si>
  <si>
    <t>10-4-25 r#1916</t>
  </si>
  <si>
    <t>10-4-25 r#1917</t>
  </si>
  <si>
    <t>11-4-25 r#1918</t>
  </si>
  <si>
    <t>11-4-25 r#1919</t>
  </si>
  <si>
    <t>12-4-25 r#1921</t>
  </si>
  <si>
    <t>14-4-25 r#1923</t>
  </si>
  <si>
    <t>15-4-25 r#1925</t>
  </si>
  <si>
    <t>16-4-25 r#1926</t>
  </si>
  <si>
    <t>16-4-25 r#1928</t>
  </si>
  <si>
    <t>17-4-25 r#1929</t>
  </si>
  <si>
    <t>19-4-25 R#1932</t>
  </si>
  <si>
    <t>19-4-25 r#1933</t>
  </si>
  <si>
    <t>21-4-25 r#1934</t>
  </si>
  <si>
    <t>22-4-25 r#1935</t>
  </si>
  <si>
    <t>22-4-25 #1936</t>
  </si>
  <si>
    <t>22-4-25 r#1937</t>
  </si>
  <si>
    <t>24-4-25 r#1938</t>
  </si>
  <si>
    <t>24-4-25 r#1939</t>
  </si>
  <si>
    <t>28-4-25  r#1941</t>
  </si>
  <si>
    <t>30-4-25 r#1942</t>
  </si>
  <si>
    <t>30-4-25 r#1943</t>
  </si>
  <si>
    <t>30-4-25 r#1944</t>
  </si>
  <si>
    <t>10-4-25 R#1915,1945</t>
  </si>
  <si>
    <t>2-5-25 R#1946</t>
  </si>
  <si>
    <t>3-5-25 R#1947</t>
  </si>
  <si>
    <t>5-5-25 R#1948</t>
  </si>
  <si>
    <t>5-5-25  r#1949</t>
  </si>
  <si>
    <t>5-5-25 r#1950</t>
  </si>
  <si>
    <t>12-5-25 r#1951</t>
  </si>
  <si>
    <t>13-5-25 r#1952</t>
  </si>
  <si>
    <t>15-5-25 r#1954</t>
  </si>
  <si>
    <t>20-5-25 R#1957</t>
  </si>
  <si>
    <t>21-5-25 R#1958</t>
  </si>
  <si>
    <t>22-5-25 r#1959</t>
  </si>
  <si>
    <t>23-5-25 R#1961</t>
  </si>
  <si>
    <t>24-5-25 r#1962</t>
  </si>
  <si>
    <t>27-5-25 r#1963</t>
  </si>
  <si>
    <t>27--5-25R#1965</t>
  </si>
  <si>
    <t>27-5-25 r#1966</t>
  </si>
  <si>
    <t>29-5-25 r#1967</t>
  </si>
  <si>
    <t>2-6-25 r#1969</t>
  </si>
  <si>
    <t>2-6-25 R#1970</t>
  </si>
  <si>
    <t>2-6-25 r#1971</t>
  </si>
  <si>
    <t>3-6-25 r#1972</t>
  </si>
  <si>
    <t>3-6-25 R#1973</t>
  </si>
  <si>
    <t>3-6-25 R#1974</t>
  </si>
  <si>
    <t>3-6-25 r#1975</t>
  </si>
  <si>
    <t>4-6-25 r#1976</t>
  </si>
  <si>
    <t>11-6-25 r#1977</t>
  </si>
  <si>
    <t>11-6-25 r#1978</t>
  </si>
  <si>
    <t>11-6-25 R#1979</t>
  </si>
  <si>
    <t>11-6-25 R#1980</t>
  </si>
  <si>
    <t>11-6-25 R#1981</t>
  </si>
  <si>
    <t>12-6-25 R#1982</t>
  </si>
  <si>
    <t>12-6-25 r#1983</t>
  </si>
  <si>
    <t>14-6-25 r#1984</t>
  </si>
  <si>
    <t>12-6-25 R#1985</t>
  </si>
  <si>
    <t>17-6-25 R#1986</t>
  </si>
  <si>
    <t>19-6-25 R#1987</t>
  </si>
  <si>
    <t>21-6-25 r#1989</t>
  </si>
  <si>
    <t>21-6-25 R#1990</t>
  </si>
  <si>
    <t>19-6-25 R#1988</t>
  </si>
  <si>
    <t>21-6-25 rR#1992,1994</t>
  </si>
  <si>
    <t>26-6-25 R#1996</t>
  </si>
  <si>
    <t>27-6-25 r#1997</t>
  </si>
  <si>
    <t>1-7-25 r#1998</t>
  </si>
  <si>
    <t>2-7-25 r#1999</t>
  </si>
  <si>
    <t>3-7-25 R#2000</t>
  </si>
  <si>
    <t>7-7-25 R#101</t>
  </si>
  <si>
    <t>9-7-25 R#102</t>
  </si>
  <si>
    <t>9-7-25 R#103</t>
  </si>
  <si>
    <t>9-7-25 R#104</t>
  </si>
  <si>
    <t>9-7-25 R#105</t>
  </si>
  <si>
    <t>11-7-25 R#106</t>
  </si>
  <si>
    <t>11-7-25 R#107</t>
  </si>
  <si>
    <t>12-7-25 Rr#108</t>
  </si>
  <si>
    <t>17-7-25 R#110</t>
  </si>
  <si>
    <t>21-7-25 R#112</t>
  </si>
  <si>
    <t>21-7-25 r#113</t>
  </si>
  <si>
    <t>22-7-25 R#115</t>
  </si>
  <si>
    <t>23-7-25 R#116</t>
  </si>
  <si>
    <t>23-7-25 r#117</t>
  </si>
  <si>
    <t>23-7-25 r#118</t>
  </si>
  <si>
    <t>25-7-25 R#119</t>
  </si>
  <si>
    <t>25-7-25 R#120</t>
  </si>
  <si>
    <t>26-7-25 R#121</t>
  </si>
  <si>
    <t>26-7-25 R#122</t>
  </si>
  <si>
    <t>26-7-25 R#123</t>
  </si>
  <si>
    <t>28-7-25 R#124</t>
  </si>
  <si>
    <t>28-7-25 R#125</t>
  </si>
  <si>
    <t>28-7-25 R#126</t>
  </si>
  <si>
    <t>28-7-25 R#127</t>
  </si>
  <si>
    <t>28-7-25 R#128</t>
  </si>
  <si>
    <t>28-7-25 R#129</t>
  </si>
  <si>
    <t>28-7-25R#131</t>
  </si>
  <si>
    <t>29-7-25 R#132</t>
  </si>
  <si>
    <t>29-7-25 R#133</t>
  </si>
  <si>
    <t>29-7-25 R#134</t>
  </si>
  <si>
    <t>29-7-25 R#135</t>
  </si>
  <si>
    <t>30-7-25 R#136</t>
  </si>
  <si>
    <t>30-7-25 R#137</t>
  </si>
  <si>
    <t>30-7-25 R#140</t>
  </si>
  <si>
    <t>30-7-25 r#141</t>
  </si>
  <si>
    <t>30-7-25 R#142</t>
  </si>
  <si>
    <t>30-7-25 r#143</t>
  </si>
  <si>
    <t>30-7-25 R#144</t>
  </si>
  <si>
    <t>30-7-25 R#145</t>
  </si>
  <si>
    <t>30-7-25 R#146</t>
  </si>
  <si>
    <t>30-7-25 R#148</t>
  </si>
  <si>
    <t>31-7-25 R#149</t>
  </si>
  <si>
    <t>31-7-25 R#150</t>
  </si>
  <si>
    <t>31-7-25 R#151</t>
  </si>
  <si>
    <t>31-7-25 r#152</t>
  </si>
  <si>
    <t>31-7-25 R#153</t>
  </si>
  <si>
    <t>31-7-25 r#154</t>
  </si>
  <si>
    <t>31-7-25 R#155</t>
  </si>
  <si>
    <t>31-7-25 R#156</t>
  </si>
  <si>
    <t>1-8-25 R#157</t>
  </si>
  <si>
    <t>1-8-25 R#158</t>
  </si>
  <si>
    <t>1-8-25 r#159</t>
  </si>
  <si>
    <t>1-8-25 r#161</t>
  </si>
  <si>
    <t>1-8-25 r#162</t>
  </si>
  <si>
    <t>1-8-25 R#163</t>
  </si>
  <si>
    <t>1-8-25 R#164</t>
  </si>
  <si>
    <t>1-8-25 R#165</t>
  </si>
  <si>
    <t>1-8-25 R#166</t>
  </si>
  <si>
    <t>2-8-25 R#168</t>
  </si>
  <si>
    <t>2-8-25 R#169</t>
  </si>
  <si>
    <t>2-8-25 R#170</t>
  </si>
  <si>
    <t>2-8-25 R#171</t>
  </si>
  <si>
    <t>2-8-25 R#172</t>
  </si>
  <si>
    <t>4-8-25 R#173</t>
  </si>
  <si>
    <t>30-7-25 R#138+174</t>
  </si>
  <si>
    <t>30-7-25 R#139+175</t>
  </si>
  <si>
    <t>1-8-25 R#167+176</t>
  </si>
  <si>
    <t>4-8-25 R#177</t>
  </si>
  <si>
    <t>4-8-25 R#178</t>
  </si>
  <si>
    <t>4-8-25 R#179</t>
  </si>
  <si>
    <t>4-8-25 R#180</t>
  </si>
  <si>
    <t>4-8-25 r#181</t>
  </si>
  <si>
    <t>4-8-25 R#182</t>
  </si>
  <si>
    <t>4-8-25 r#183</t>
  </si>
  <si>
    <t>4-8-25 R#184</t>
  </si>
  <si>
    <t>4-8-25 R#185</t>
  </si>
  <si>
    <t>5-8-25 R#186</t>
  </si>
  <si>
    <t>5-8-25  R#187</t>
  </si>
  <si>
    <t>5-8-25 R#188</t>
  </si>
  <si>
    <t>5-8-25 R#189</t>
  </si>
  <si>
    <t>5-8-25 r#190</t>
  </si>
  <si>
    <t>5-8-25 r#192</t>
  </si>
  <si>
    <t>5-8-25 r#193</t>
  </si>
  <si>
    <t>6-8-25 R#194</t>
  </si>
  <si>
    <t>6-8-25 R#195</t>
  </si>
  <si>
    <t>6-8-25 R#196</t>
  </si>
  <si>
    <t>6-8-25 R#197</t>
  </si>
  <si>
    <t>6-8-25 r#198</t>
  </si>
  <si>
    <t>6-8-25 r#199</t>
  </si>
  <si>
    <t>7-8-25 R#200</t>
  </si>
  <si>
    <t>7-8-25 r#501</t>
  </si>
  <si>
    <t>2-8-25 r#502</t>
  </si>
  <si>
    <t>7-8-25 r#503</t>
  </si>
  <si>
    <t>7-8-25 r#504</t>
  </si>
  <si>
    <t>7-8-25 r#505</t>
  </si>
  <si>
    <t>7-8-25 r#506</t>
  </si>
  <si>
    <t>8-8-25 r#507</t>
  </si>
  <si>
    <t>8-8-25 r#508</t>
  </si>
  <si>
    <t>8-8-25 r#509</t>
  </si>
  <si>
    <t>8-8-25 r#510</t>
  </si>
  <si>
    <t>8-8-25 R#511</t>
  </si>
  <si>
    <t>9-8-25 R#513</t>
  </si>
  <si>
    <t>9-8-25 R#514</t>
  </si>
  <si>
    <t>9-8-25 R#515</t>
  </si>
  <si>
    <t>9-8-25 R#516</t>
  </si>
  <si>
    <t>9-8-25 r#517</t>
  </si>
  <si>
    <t>9-8-25 R#518</t>
  </si>
  <si>
    <t>11-8-25 R#519</t>
  </si>
  <si>
    <t>1-8-25 r#160+520</t>
  </si>
  <si>
    <t>11-8-25 R#521</t>
  </si>
  <si>
    <t>5-8-25 R#191+522</t>
  </si>
  <si>
    <t>30-7-25 R#147+523</t>
  </si>
  <si>
    <t>11-8-25 R#524</t>
  </si>
  <si>
    <t>11-8-25 R#525</t>
  </si>
  <si>
    <t>11-8-25 r#526</t>
  </si>
  <si>
    <t>12-8-25 R#527</t>
  </si>
  <si>
    <t>12-8-25 R#528</t>
  </si>
  <si>
    <t>12-8-25 r#529</t>
  </si>
  <si>
    <t>12-8-25 R#530</t>
  </si>
  <si>
    <t>12-8-25 r#531</t>
  </si>
  <si>
    <t>12-8-25 R#532</t>
  </si>
  <si>
    <t>12-8-25 R#533</t>
  </si>
  <si>
    <t>12-8-25 R#534</t>
  </si>
  <si>
    <t>12-8-25 R#535</t>
  </si>
  <si>
    <t>12-8-25 R#536</t>
  </si>
  <si>
    <t>15-8-25 R#537</t>
  </si>
  <si>
    <t>15-8-25 R#538</t>
  </si>
  <si>
    <t>18-8-25 R#539</t>
  </si>
  <si>
    <t>18-8-25 R#540</t>
  </si>
  <si>
    <t>18-8-25 R#541</t>
  </si>
  <si>
    <t>18-8-25 R#542</t>
  </si>
  <si>
    <t>20-8-25 R#543</t>
  </si>
  <si>
    <t>20-8-25 R#544</t>
  </si>
  <si>
    <t>20-8-25 R#545</t>
  </si>
  <si>
    <t>21-8-25 R#546</t>
  </si>
  <si>
    <t>21-8-25 R#547</t>
  </si>
  <si>
    <t>21-8-25 R#548</t>
  </si>
  <si>
    <t>21-8-25 R#549</t>
  </si>
  <si>
    <t>22-8-25 R#550</t>
  </si>
  <si>
    <t>25-8-25 R#551</t>
  </si>
  <si>
    <t>25-8-25 R#552</t>
  </si>
  <si>
    <t>26-8-25 R#553</t>
  </si>
  <si>
    <t>28-8-25 #554</t>
  </si>
  <si>
    <t>2-9-25 R#556</t>
  </si>
  <si>
    <t>28-8-25 R#555</t>
  </si>
  <si>
    <t>12-4-25 R#1922</t>
  </si>
  <si>
    <t>8-9-25 R#557</t>
  </si>
  <si>
    <t>10-10-25 Rr#558</t>
  </si>
  <si>
    <t>15-9-25 r#559</t>
  </si>
  <si>
    <t>16-9-25 R#560</t>
  </si>
  <si>
    <t>16-9-25 r#561</t>
  </si>
  <si>
    <t>25-9-25 R#562</t>
  </si>
  <si>
    <t>29-9-25 R3563</t>
  </si>
  <si>
    <t>3-10-25 R#564</t>
  </si>
  <si>
    <t>3-10-25 R#565</t>
  </si>
  <si>
    <t>21-6-25 r#1993+566</t>
  </si>
  <si>
    <t>10-10-25 R#567</t>
  </si>
  <si>
    <t>3-6-25 R#01</t>
  </si>
  <si>
    <t>3-6-25 R#02</t>
  </si>
  <si>
    <t>4-6-25 R#03</t>
  </si>
  <si>
    <t>16-5-25 R#04</t>
  </si>
  <si>
    <t>12-6-25 R#05</t>
  </si>
  <si>
    <t>19-6-25 R#06</t>
  </si>
  <si>
    <t>19-6-25 R#07</t>
  </si>
  <si>
    <t>27-6-25 R#08</t>
  </si>
  <si>
    <t>7-7-25 R#10</t>
  </si>
  <si>
    <t>21-7-25 R#11</t>
  </si>
  <si>
    <t>28-7-25 R#12</t>
  </si>
  <si>
    <t>28-7-25 r#13</t>
  </si>
  <si>
    <t>28-7-25 R#14</t>
  </si>
  <si>
    <t>28-7-25 R#15</t>
  </si>
  <si>
    <t>29-7-25 R#17</t>
  </si>
  <si>
    <t>29-7-25 R#18</t>
  </si>
  <si>
    <t>30-7-25 R#19</t>
  </si>
  <si>
    <t>31-7-25 R#20</t>
  </si>
  <si>
    <t>31-7-25 R#21</t>
  </si>
  <si>
    <t>31-7-25 R#22</t>
  </si>
  <si>
    <r>
      <t>1-8-25 R</t>
    </r>
    <r>
      <rPr>
        <b/>
        <i/>
        <sz val="18"/>
        <color theme="1"/>
        <rFont val="Calibri"/>
        <family val="2"/>
        <scheme val="minor"/>
      </rPr>
      <t>#24</t>
    </r>
  </si>
  <si>
    <t>2-8-25 R#25</t>
  </si>
  <si>
    <t>4-8-25 R#26</t>
  </si>
  <si>
    <t>4-8-25 R#27</t>
  </si>
  <si>
    <t>5-8-25 R#28</t>
  </si>
  <si>
    <t>6-8-25 R#30</t>
  </si>
  <si>
    <t>6-8-25 R#31</t>
  </si>
  <si>
    <t>6-8-25 R#32</t>
  </si>
  <si>
    <t>6-8-25 R#33</t>
  </si>
  <si>
    <t>9-8-25 R#35</t>
  </si>
  <si>
    <t>11-8-25 R#36</t>
  </si>
  <si>
    <t>18-8-25 R#38</t>
  </si>
  <si>
    <t>28-8-25 R#39</t>
  </si>
  <si>
    <t>28-8-25 R#40</t>
  </si>
  <si>
    <t>28-8-25 r#41</t>
  </si>
  <si>
    <t>30-8-25 R#42</t>
  </si>
  <si>
    <t>1-9-25 R#43</t>
  </si>
  <si>
    <t>2-9-25 R#45</t>
  </si>
  <si>
    <t>2-9-25 R#49</t>
  </si>
  <si>
    <t>2-9-25 R#50</t>
  </si>
  <si>
    <t>2-9-25 r#51</t>
  </si>
  <si>
    <t>2-9-25 R#52</t>
  </si>
  <si>
    <t>2-9-25 R#53</t>
  </si>
  <si>
    <t>3-9-25 R#54</t>
  </si>
  <si>
    <t>3-9-25 R#55</t>
  </si>
  <si>
    <t>3-9-25 R#56</t>
  </si>
  <si>
    <t>3-9-25 R#57</t>
  </si>
  <si>
    <t>3-9-25 R#58</t>
  </si>
  <si>
    <t>3-9-25 R#59</t>
  </si>
  <si>
    <t>5-9-25 R#60</t>
  </si>
  <si>
    <t>5-9-25 R#61</t>
  </si>
  <si>
    <t>5-9-25 R#63</t>
  </si>
  <si>
    <t>5-9-25 R#64</t>
  </si>
  <si>
    <t>5-9-25 R#65</t>
  </si>
  <si>
    <t>5-9-25 R#66</t>
  </si>
  <si>
    <t>5-9-25 Rr#67</t>
  </si>
  <si>
    <t>5-9-25 R#68</t>
  </si>
  <si>
    <t>5-9-25 R#69</t>
  </si>
  <si>
    <t>5-9-25 R#70</t>
  </si>
  <si>
    <t>5-9-25 R#71</t>
  </si>
  <si>
    <t>5-9-25 R#72</t>
  </si>
  <si>
    <t>5-9-25 R#73</t>
  </si>
  <si>
    <t>5-9-25 R#74</t>
  </si>
  <si>
    <t>5-9-25 R#75</t>
  </si>
  <si>
    <t>9-9-25 R#76</t>
  </si>
  <si>
    <t>9-9-25 R#77</t>
  </si>
  <si>
    <t>9-9-25 R#78</t>
  </si>
  <si>
    <t>9-9-25 R#79</t>
  </si>
  <si>
    <t>9-9-25 R#80</t>
  </si>
  <si>
    <t>9-9-25 R#81</t>
  </si>
  <si>
    <t>9-9-25 R#82</t>
  </si>
  <si>
    <t>9-9-25 R#83</t>
  </si>
  <si>
    <t>1-9-25 R#44+47+84</t>
  </si>
  <si>
    <t>9-9-25 R#86</t>
  </si>
  <si>
    <t>9-9-25 R#87</t>
  </si>
  <si>
    <t>9-9-25 R#88</t>
  </si>
  <si>
    <t>9-9-25 R#89</t>
  </si>
  <si>
    <t>9-9-25 R#90</t>
  </si>
  <si>
    <t>9-9-25 R#91</t>
  </si>
  <si>
    <t>9-9-25 R#92</t>
  </si>
  <si>
    <t>9-9-25 R#94</t>
  </si>
  <si>
    <t>9-9-25 r#96</t>
  </si>
  <si>
    <t>9-9-25 R#97</t>
  </si>
  <si>
    <t>9-9-25 R#98</t>
  </si>
  <si>
    <t>9-9-25 r#99</t>
  </si>
  <si>
    <t>9-9-25 r#100</t>
  </si>
  <si>
    <t>10-9-25 r#401</t>
  </si>
  <si>
    <t>10-9-25 R#403</t>
  </si>
  <si>
    <t>10-9-25 r#404</t>
  </si>
  <si>
    <t>10-9-25 r#405</t>
  </si>
  <si>
    <t>10-9-25 r#406</t>
  </si>
  <si>
    <t>10-9-25 r#407</t>
  </si>
  <si>
    <t>11-9-25 r#408</t>
  </si>
  <si>
    <t>11-9-25 R#409</t>
  </si>
  <si>
    <t>11-9-25 r#410</t>
  </si>
  <si>
    <t>12-9-25 r#411</t>
  </si>
  <si>
    <t>15-9-25 r#412</t>
  </si>
  <si>
    <t>15-9-25 r#413</t>
  </si>
  <si>
    <t>15-9-25 R#414</t>
  </si>
  <si>
    <t>15-9-25 r#416</t>
  </si>
  <si>
    <t>15-9-25 r#417</t>
  </si>
  <si>
    <t>15-9-25 r#418</t>
  </si>
  <si>
    <t>15-9-25 r#420</t>
  </si>
  <si>
    <t>16-9-25 r#421</t>
  </si>
  <si>
    <t>16-9-25 r#424</t>
  </si>
  <si>
    <t>16-9-25 r#425</t>
  </si>
  <si>
    <t>16-9-25 r#427</t>
  </si>
  <si>
    <t>16-9-25 r#428</t>
  </si>
  <si>
    <t>16-9-25 r#429</t>
  </si>
  <si>
    <t>16-9-25 r#430</t>
  </si>
  <si>
    <t>16-9-25 r#431</t>
  </si>
  <si>
    <t>16-9-25 r#432</t>
  </si>
  <si>
    <t>16-9-25 r#433</t>
  </si>
  <si>
    <t>16-9-25 r#434</t>
  </si>
  <si>
    <t>16-9-25 r#435</t>
  </si>
  <si>
    <t>16-9-25 r#436</t>
  </si>
  <si>
    <t>16-9-25 r#437</t>
  </si>
  <si>
    <t>16-9-25 r#438</t>
  </si>
  <si>
    <t>16-9-25 r#439</t>
  </si>
  <si>
    <t>2-7-25 R#09+441</t>
  </si>
  <si>
    <t>17-9-25 r#442</t>
  </si>
  <si>
    <t>17-9-25 r#443</t>
  </si>
  <si>
    <t>18-9-25 r#444</t>
  </si>
  <si>
    <t>22-9-25 r#445</t>
  </si>
  <si>
    <t>22-9-25 r#446</t>
  </si>
  <si>
    <t>23-9-25 r#447</t>
  </si>
  <si>
    <t>1-8-25 R#23+448</t>
  </si>
  <si>
    <t>29-7-25 R#16+449</t>
  </si>
  <si>
    <t>25-9-25 r#450</t>
  </si>
  <si>
    <t>30-9-25 r#451</t>
  </si>
  <si>
    <t>10-9-25 R#85+452</t>
  </si>
  <si>
    <t>2-10-25 r#456</t>
  </si>
  <si>
    <t>5-9-25 R#62+457</t>
  </si>
  <si>
    <t>3-10-25 r#458</t>
  </si>
  <si>
    <t>18-8-25 R#37+402+459</t>
  </si>
  <si>
    <t>15-9-25 r#423+460</t>
  </si>
  <si>
    <t>9-9-25 R#93+461</t>
  </si>
  <si>
    <t>8-10-25 r#462</t>
  </si>
  <si>
    <t>8-10-25 r#463</t>
  </si>
  <si>
    <t>9-10-25 r#464</t>
  </si>
  <si>
    <t>9-10-25 r#465</t>
  </si>
  <si>
    <t>10-10-25 r#466</t>
  </si>
  <si>
    <t>10-10-25 r#467</t>
  </si>
  <si>
    <t>15-9-25 r#419+422+468</t>
  </si>
  <si>
    <t>11-11-25 r#469</t>
  </si>
  <si>
    <t>13-10-25 r#470</t>
  </si>
  <si>
    <t>13-10-25 R#471</t>
  </si>
  <si>
    <t>15-9-25 r#415+472</t>
  </si>
  <si>
    <t>Dawood Masih</t>
  </si>
  <si>
    <t>Saleem Masih</t>
  </si>
  <si>
    <t>0340-875900</t>
  </si>
  <si>
    <t>25-10-25 r#568</t>
  </si>
  <si>
    <t>25-10-25 r#477</t>
  </si>
  <si>
    <t>23-10-25 r#478</t>
  </si>
  <si>
    <t>27-10-25 r#483</t>
  </si>
  <si>
    <t>28-10-25 R#484</t>
  </si>
  <si>
    <t>28-10-25 R#485</t>
  </si>
  <si>
    <t>Dawood Imran</t>
  </si>
  <si>
    <t>Imran</t>
  </si>
  <si>
    <t>0325-0088452</t>
  </si>
  <si>
    <t>29-10-25 r#483</t>
  </si>
  <si>
    <t>29-10-25 r#487</t>
  </si>
  <si>
    <t>30-10-25 R#490</t>
  </si>
  <si>
    <t>31-10-25 R#493</t>
  </si>
  <si>
    <t>31-10-25 r#495</t>
  </si>
  <si>
    <t>19-7-25 R#111+569</t>
  </si>
  <si>
    <t>31-10-25 r#496</t>
  </si>
  <si>
    <t>31-10-25 r#497</t>
  </si>
  <si>
    <t>9-8-25 R#512+570</t>
  </si>
  <si>
    <t>31-10-25 r#498</t>
  </si>
  <si>
    <t>3-11-25 R#499</t>
  </si>
  <si>
    <t>3-11-25 R#500</t>
  </si>
  <si>
    <t>3-11-25 R#701</t>
  </si>
  <si>
    <t>3-11-25 R#702</t>
  </si>
  <si>
    <t>3-11-25 R#703</t>
  </si>
  <si>
    <t>4-11-25 R#704</t>
  </si>
  <si>
    <t>4-11-25 R#706</t>
  </si>
  <si>
    <t>4-11-25 R#705</t>
  </si>
  <si>
    <t>4-11-25 R#707</t>
  </si>
  <si>
    <t>4-11-25 R#708</t>
  </si>
  <si>
    <t>4-11-25 r#709</t>
  </si>
  <si>
    <t>4-11-25 R#710</t>
  </si>
  <si>
    <t>4-11-25 R#711</t>
  </si>
  <si>
    <t>4-11-25 R#712</t>
  </si>
  <si>
    <t>4-11-25 R#713</t>
  </si>
  <si>
    <t>4-11-25 R#714</t>
  </si>
  <si>
    <t>4-11-25 R#715</t>
  </si>
  <si>
    <t>4-11-25 R#716</t>
  </si>
  <si>
    <t>5-11-25 R#718</t>
  </si>
  <si>
    <t>5-11-25 R#720</t>
  </si>
  <si>
    <t>6-11-25 R#722</t>
  </si>
  <si>
    <t>5-11-25 R#724</t>
  </si>
  <si>
    <t>5-11-25 R#725</t>
  </si>
  <si>
    <t>5-11-25 R#726</t>
  </si>
  <si>
    <t>5-11-25 R#727</t>
  </si>
  <si>
    <t>5-11-25 R#728</t>
  </si>
  <si>
    <t>5-11-25 R#729</t>
  </si>
  <si>
    <t>5-11-25 R#730</t>
  </si>
  <si>
    <t>5-11-25 R#731</t>
  </si>
  <si>
    <t>5-11-25 R#732</t>
  </si>
  <si>
    <t>5-11-25 R#733</t>
  </si>
  <si>
    <t>5-11-25 R#734</t>
  </si>
  <si>
    <t>5-11-25 R#735</t>
  </si>
  <si>
    <t>5-11-25 R#737</t>
  </si>
  <si>
    <t>6-11-25 R#747</t>
  </si>
  <si>
    <t>6-11-25 R#748</t>
  </si>
  <si>
    <t>6-11-25 R#749</t>
  </si>
  <si>
    <t>6-11-25 R#750</t>
  </si>
  <si>
    <t>6-11-25 R#751</t>
  </si>
  <si>
    <t>2-9-25 R#48</t>
  </si>
  <si>
    <t>7-11-25 R#755</t>
  </si>
  <si>
    <t>8-11-25 R#757</t>
  </si>
  <si>
    <t>8-11-25 R#759</t>
  </si>
  <si>
    <t>8-11-25 R#760</t>
  </si>
  <si>
    <t>8-11-25 R#761</t>
  </si>
  <si>
    <t>10-11-25 R#763</t>
  </si>
  <si>
    <t>10-11-25 R#764</t>
  </si>
  <si>
    <t>10-11-25 R#765</t>
  </si>
  <si>
    <t>10-11-25 R#766</t>
  </si>
  <si>
    <t>10-11-25 R#768</t>
  </si>
  <si>
    <t>10-11-25  R#769</t>
  </si>
  <si>
    <t>10-11-25 R#770</t>
  </si>
  <si>
    <t>10-11-25 772</t>
  </si>
  <si>
    <t>17-11-25 R#778</t>
  </si>
  <si>
    <t>17-11-25 R#779</t>
  </si>
  <si>
    <t>17-11-25 r#780</t>
  </si>
  <si>
    <t>10-11-25 R#599</t>
  </si>
  <si>
    <t>10-11-25 R#600</t>
  </si>
  <si>
    <t>5-11-25 R#721</t>
  </si>
  <si>
    <t>5-11-25 R#723</t>
  </si>
  <si>
    <t>5-11-25 R#736</t>
  </si>
  <si>
    <t>7-11-25 R#753</t>
  </si>
  <si>
    <t>8-11-25 r#758</t>
  </si>
  <si>
    <t>8-11-25 R#762</t>
  </si>
  <si>
    <t>10-11-25 R#767</t>
  </si>
  <si>
    <t>10-11-25 R#771</t>
  </si>
  <si>
    <t>10-11-25 R#774</t>
  </si>
  <si>
    <t>11-11-25 R#775</t>
  </si>
  <si>
    <t>18-10-25 R#475,929</t>
  </si>
  <si>
    <t>17-11-25 r#781</t>
  </si>
  <si>
    <t>17-11-25 r#782</t>
  </si>
  <si>
    <t>17-11-25 r#783</t>
  </si>
  <si>
    <t>17-11-25 r#784</t>
  </si>
  <si>
    <t>18-11-25 r#785</t>
  </si>
  <si>
    <t>10-11-25 R#606</t>
  </si>
  <si>
    <t>10-11-25 R#604</t>
  </si>
  <si>
    <t>10-11-25 R#603</t>
  </si>
  <si>
    <t>10-11-25 R#602</t>
  </si>
  <si>
    <t>10-11-25 R#605</t>
  </si>
  <si>
    <t>18-11-25 R#786</t>
  </si>
  <si>
    <t>19-11-25 R#787</t>
  </si>
  <si>
    <t>19-11-25 R#789</t>
  </si>
  <si>
    <t>19-11-25 R#790</t>
  </si>
  <si>
    <t>21-7-25 r#1490</t>
  </si>
  <si>
    <t>20-11-25 r#791</t>
  </si>
  <si>
    <t>x</t>
  </si>
  <si>
    <t>24-11-25 R#795</t>
  </si>
  <si>
    <t>16-9-25 R#124</t>
  </si>
  <si>
    <t>Rent  3 months</t>
  </si>
  <si>
    <t>Rent  5 months</t>
  </si>
  <si>
    <t>3-11-25 r#197</t>
  </si>
  <si>
    <t>24-11-25 r#796</t>
  </si>
  <si>
    <t>24-11-25 r#797</t>
  </si>
  <si>
    <t>24-11-25 R#798</t>
  </si>
  <si>
    <t>24-11-25 r#799</t>
  </si>
  <si>
    <t>24-12-25 r#800</t>
  </si>
  <si>
    <t>25-11-25 R#265</t>
  </si>
  <si>
    <t>25-11-25 R#656</t>
  </si>
  <si>
    <t>25-11-25 r#657</t>
  </si>
  <si>
    <t>25-11-25 r#658</t>
  </si>
  <si>
    <t>28-11-25 R#661</t>
  </si>
  <si>
    <t>9-9-25 R#95</t>
  </si>
  <si>
    <t>9-9-25 R#440</t>
  </si>
  <si>
    <t>28-11-25 R#662</t>
  </si>
  <si>
    <t xml:space="preserve">Muhammad Abdullah </t>
  </si>
  <si>
    <t>Abdur Rehman</t>
  </si>
  <si>
    <t>Aurangzaib</t>
  </si>
  <si>
    <t>24-11-25 r#573</t>
  </si>
  <si>
    <t>Muhammad Aoun</t>
  </si>
  <si>
    <t>2-12-25  r#672</t>
  </si>
  <si>
    <t>3-12-25 r#682</t>
  </si>
  <si>
    <t>3-12-25 R#683</t>
  </si>
  <si>
    <t>3-12-25 r#684</t>
  </si>
  <si>
    <t>3-12-25 R#685</t>
  </si>
  <si>
    <t>3-12-25 r#804</t>
  </si>
  <si>
    <t>3-12-25 R#811</t>
  </si>
  <si>
    <t>3-12-25 R#681,821</t>
  </si>
  <si>
    <t>5-12-25 r#850</t>
  </si>
  <si>
    <t>8-12-25 R#875</t>
  </si>
  <si>
    <t>8-12-25 R#876</t>
  </si>
  <si>
    <t>12-12-25 r#888</t>
  </si>
  <si>
    <t>10-12-25 R#904</t>
  </si>
  <si>
    <t>Dania Mirza</t>
  </si>
  <si>
    <t>6-1-26 R#965</t>
  </si>
  <si>
    <t>13-11-25 R#881</t>
  </si>
  <si>
    <t>9-1-26 R#971</t>
  </si>
  <si>
    <t>12-1-26 R#973</t>
  </si>
  <si>
    <t>14-1-26 R#979</t>
  </si>
  <si>
    <t>14-1-26 R#980</t>
  </si>
  <si>
    <t>14-1-26 R#982</t>
  </si>
  <si>
    <t xml:space="preserve"> </t>
  </si>
  <si>
    <t>14-1-26 R#994</t>
  </si>
  <si>
    <t>14-1-26 R#995</t>
  </si>
  <si>
    <t>15-1-26 R#1005</t>
  </si>
  <si>
    <t>15-1-26 R#1006</t>
  </si>
  <si>
    <t>15-1-26 R#1014</t>
  </si>
  <si>
    <t>5-9-25 R#288</t>
  </si>
  <si>
    <t>10-11-25 R#909</t>
  </si>
  <si>
    <t>15-1-26 r#1007</t>
  </si>
  <si>
    <t>10-12-25 R#902+1047</t>
  </si>
  <si>
    <t>19-1-26 r#1055</t>
  </si>
  <si>
    <t>5-8-25 R#29</t>
  </si>
  <si>
    <t>16-9-25 r#426</t>
  </si>
  <si>
    <t>15-1-26 R#1018</t>
  </si>
  <si>
    <t>9-1-26 R#966</t>
  </si>
  <si>
    <t>9-1-26 R#967</t>
  </si>
  <si>
    <t>9-1-26 R#968</t>
  </si>
  <si>
    <t>9-1-26 R#969</t>
  </si>
  <si>
    <t>9-1-26 R#970</t>
  </si>
  <si>
    <t>9-1-26 R#972</t>
  </si>
  <si>
    <t>12-1-26 R#974</t>
  </si>
  <si>
    <t>12-1-26 R#975</t>
  </si>
  <si>
    <t>14-1-26 R#976</t>
  </si>
  <si>
    <t>14-1-26R#977</t>
  </si>
  <si>
    <t>14-1-26 R#978</t>
  </si>
  <si>
    <t>14-1-26 r#981</t>
  </si>
  <si>
    <t>14-1-26 R#983</t>
  </si>
  <si>
    <t>14-1-26 r#984</t>
  </si>
  <si>
    <t>14-1-26 r#985</t>
  </si>
  <si>
    <t>14-1-26 r#986</t>
  </si>
  <si>
    <t>14-1-26 r#988</t>
  </si>
  <si>
    <t>14-1-26 r#989</t>
  </si>
  <si>
    <t>14-1-26 r#990</t>
  </si>
  <si>
    <t>14-1-26 r#991</t>
  </si>
  <si>
    <t>14-1-26 r#992</t>
  </si>
  <si>
    <t>14-1-26 r#993</t>
  </si>
  <si>
    <t>14-1-26 R#996</t>
  </si>
  <si>
    <t>14-1-26 r#997s</t>
  </si>
  <si>
    <t>14-1-26 R#998</t>
  </si>
  <si>
    <t>14-1-26 r#999</t>
  </si>
  <si>
    <t>14-1-26 R#1000</t>
  </si>
  <si>
    <t>14-1-26 r#1002</t>
  </si>
  <si>
    <t>14-1-26 R#1003</t>
  </si>
  <si>
    <t>15-1-26 r#1004</t>
  </si>
  <si>
    <t>15-1-26 r#1008</t>
  </si>
  <si>
    <t>15-1-26 r#1009</t>
  </si>
  <si>
    <t>14-1-26 r#1010</t>
  </si>
  <si>
    <t>10-12-25 R#901+1011</t>
  </si>
  <si>
    <t>15-1-26 r#1013</t>
  </si>
  <si>
    <t>15-1-26 r#1015</t>
  </si>
  <si>
    <t>15-1-26 r#1016</t>
  </si>
  <si>
    <t>10-12-25 R#903+1017</t>
  </si>
  <si>
    <t>15-1-26 r#1020</t>
  </si>
  <si>
    <t>15-1-26 r#1021</t>
  </si>
  <si>
    <t>15-1-26 r#1022</t>
  </si>
  <si>
    <t>15-1-26 r#1025</t>
  </si>
  <si>
    <t>16-1-26 r#1026</t>
  </si>
  <si>
    <t>16-1-26 r#1027</t>
  </si>
  <si>
    <t>16-1-26 r#1028</t>
  </si>
  <si>
    <t>16-1-26 r#1031</t>
  </si>
  <si>
    <t>16-1-26 r#1033</t>
  </si>
  <si>
    <t>16-1-26 r#1034</t>
  </si>
  <si>
    <t>16-1-26 r#1035</t>
  </si>
  <si>
    <t>16-1-26 r#1036</t>
  </si>
  <si>
    <t>16-1-26 r#1037</t>
  </si>
  <si>
    <t>16-1-26 r#1038</t>
  </si>
  <si>
    <t>17-1-26 r#1039</t>
  </si>
  <si>
    <t>17-1-26 r#1040</t>
  </si>
  <si>
    <t>17-1-26 r#1042</t>
  </si>
  <si>
    <t>17-1-26 r#1043</t>
  </si>
  <si>
    <t>17-1-26 r#1044</t>
  </si>
  <si>
    <t>17-1-26 r#1045</t>
  </si>
  <si>
    <t>19-1-26 r#1049</t>
  </si>
  <si>
    <t>19-1-26 r#1050</t>
  </si>
  <si>
    <t>19-1-26  r#1051</t>
  </si>
  <si>
    <t>19-1-26 r#1053</t>
  </si>
  <si>
    <t>19-1-26 r#1056</t>
  </si>
  <si>
    <t>19-1-26 r#1057</t>
  </si>
  <si>
    <t>19-1-26 r#1058</t>
  </si>
  <si>
    <t>19-1-26 r#1059</t>
  </si>
  <si>
    <t>20-1-26 r#1061</t>
  </si>
  <si>
    <t>20-1-26 r#1062</t>
  </si>
  <si>
    <t>20-1-26 r#1064</t>
  </si>
  <si>
    <t>20-1-26 r#1065</t>
  </si>
  <si>
    <t>20-1-26 r#1066</t>
  </si>
  <si>
    <t>20-1-26 r#1068</t>
  </si>
  <si>
    <t>20-1-26 r#1069</t>
  </si>
  <si>
    <t>20-1-26 r#1072</t>
  </si>
  <si>
    <t>20-1-26 r#1073</t>
  </si>
  <si>
    <t>20-1-26 r#1074</t>
  </si>
  <si>
    <t>20-1-26 r#1075</t>
  </si>
  <si>
    <t>22-1-26 r#1078</t>
  </si>
  <si>
    <t>26-1-26 r#387</t>
  </si>
  <si>
    <t>25-11-25 r#659</t>
  </si>
  <si>
    <t>28-11-25 R#660</t>
  </si>
  <si>
    <t>28-11-25 R#663</t>
  </si>
  <si>
    <t>3-12-25 R#684</t>
  </si>
  <si>
    <t>11-11-25 R#776</t>
  </si>
  <si>
    <t>17-11-25 R#777</t>
  </si>
  <si>
    <t>22-11-25 R#794</t>
  </si>
  <si>
    <t>4-12-25 R#824</t>
  </si>
  <si>
    <t>78-11</t>
  </si>
  <si>
    <t>27-1-26 R#1090</t>
  </si>
  <si>
    <t>13-12-25 R#880</t>
  </si>
  <si>
    <t>12-12-25 R#889</t>
  </si>
  <si>
    <t>20-1-26 r#1046+890</t>
  </si>
  <si>
    <t>R#598+754,897</t>
  </si>
  <si>
    <t>28-1-26 r#400</t>
  </si>
  <si>
    <t>28-1-26 r#401</t>
  </si>
  <si>
    <t>10-12-25 R#908</t>
  </si>
  <si>
    <t>10-12-25 R#949</t>
  </si>
  <si>
    <t>14-1-26 r#+987</t>
  </si>
  <si>
    <t>22-1-26 R#1082</t>
  </si>
  <si>
    <t>22-1-26 R#1083</t>
  </si>
  <si>
    <t>22-1-26 R#1084</t>
  </si>
  <si>
    <t>22-1-26 R#1085</t>
  </si>
  <si>
    <t>5-12-25 r#851+1086</t>
  </si>
  <si>
    <t>27-1-26 R#1091</t>
  </si>
  <si>
    <t>29-1-26 R#1094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</si>
</sst>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000\-000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00000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rgb="FF000000"/>
      <name val="Times New Roman"/>
      <family val="1"/>
      <charset val="1"/>
    </font>
    <font>
      <sz val="28"/>
      <color rgb="FF000000"/>
      <name val="Times New Roman"/>
      <family val="1"/>
      <charset val="1"/>
    </font>
    <font>
      <b/>
      <sz val="28"/>
      <color rgb="FF000000"/>
      <name val="Times New Roman"/>
      <family val="1"/>
    </font>
    <font>
      <b/>
      <sz val="28"/>
      <color rgb="FF000000"/>
      <name val="Arial"/>
      <family val="2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000000"/>
      <name val="Times New Roman"/>
      <family val="1"/>
      <charset val="1"/>
    </font>
    <font>
      <sz val="26"/>
      <color rgb="FF000000"/>
      <name val="Times New Roman"/>
      <family val="1"/>
      <charset val="1"/>
    </font>
    <font>
      <b/>
      <sz val="26"/>
      <color rgb="FF000000"/>
      <name val="Times New Roman"/>
      <family val="1"/>
      <charset val="1"/>
    </font>
    <font>
      <sz val="26"/>
      <color theme="1"/>
      <name val="Calibri"/>
      <family val="2"/>
      <scheme val="minor"/>
    </font>
    <font>
      <b/>
      <sz val="26"/>
      <color rgb="FF000000"/>
      <name val="Arial"/>
      <family val="2"/>
    </font>
    <font>
      <b/>
      <sz val="26"/>
      <color theme="1"/>
      <name val="Arial"/>
      <family val="2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name val="Times New Roman"/>
      <family val="1"/>
    </font>
    <font>
      <sz val="18"/>
      <color rgb="FFFF0000"/>
      <name val="Times New Roman"/>
      <family val="1"/>
    </font>
    <font>
      <b/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Arial"/>
      <family val="2"/>
    </font>
    <font>
      <b/>
      <sz val="24"/>
      <color rgb="FFFF0000"/>
      <name val="Times New Roman"/>
      <family val="1"/>
    </font>
    <font>
      <b/>
      <sz val="26"/>
      <color theme="1"/>
      <name val="Calibri"/>
      <family val="2"/>
      <scheme val="minor"/>
    </font>
    <font>
      <sz val="26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name val="Times New Roman"/>
      <family val="1"/>
    </font>
    <font>
      <sz val="28"/>
      <color theme="1"/>
      <name val="Times New Roman"/>
      <family val="1"/>
    </font>
    <font>
      <b/>
      <sz val="28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33CCCC"/>
        <bgColor rgb="FF008080"/>
      </patternFill>
    </fill>
    <fill>
      <patternFill patternType="solid">
        <fgColor rgb="FF33CCCC"/>
        <bgColor rgb="FFC0C0C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8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3" fillId="0" borderId="0" xfId="0" applyFont="1"/>
    <xf numFmtId="0" fontId="7" fillId="0" borderId="0" xfId="0" applyFont="1" applyAlignment="1">
      <alignment wrapText="1"/>
    </xf>
    <xf numFmtId="164" fontId="0" fillId="0" borderId="0" xfId="1" applyNumberFormat="1" applyFont="1"/>
    <xf numFmtId="0" fontId="0" fillId="0" borderId="0" xfId="0" applyFill="1"/>
    <xf numFmtId="0" fontId="0" fillId="0" borderId="19" xfId="0" applyBorder="1" applyAlignment="1">
      <alignment horizontal="center" vertical="center"/>
    </xf>
    <xf numFmtId="0" fontId="3" fillId="0" borderId="19" xfId="0" applyFont="1" applyBorder="1"/>
    <xf numFmtId="0" fontId="0" fillId="0" borderId="19" xfId="0" applyFont="1" applyBorder="1"/>
    <xf numFmtId="0" fontId="0" fillId="0" borderId="19" xfId="0" applyBorder="1"/>
    <xf numFmtId="0" fontId="7" fillId="0" borderId="19" xfId="0" applyFont="1" applyBorder="1" applyAlignment="1">
      <alignment wrapText="1"/>
    </xf>
    <xf numFmtId="164" fontId="0" fillId="0" borderId="19" xfId="1" applyNumberFormat="1" applyFont="1" applyBorder="1"/>
    <xf numFmtId="164" fontId="0" fillId="0" borderId="19" xfId="1" applyNumberFormat="1" applyFont="1" applyBorder="1" applyAlignment="1">
      <alignment horizontal="center"/>
    </xf>
    <xf numFmtId="164" fontId="4" fillId="0" borderId="19" xfId="1" applyNumberFormat="1" applyFont="1" applyBorder="1" applyAlignment="1">
      <alignment horizontal="center"/>
    </xf>
    <xf numFmtId="0" fontId="0" fillId="0" borderId="19" xfId="0" applyFill="1" applyBorder="1"/>
    <xf numFmtId="0" fontId="6" fillId="0" borderId="19" xfId="0" applyFont="1" applyBorder="1" applyAlignment="1">
      <alignment wrapText="1"/>
    </xf>
    <xf numFmtId="0" fontId="6" fillId="0" borderId="0" xfId="0" applyFont="1" applyAlignment="1">
      <alignment wrapText="1"/>
    </xf>
    <xf numFmtId="164" fontId="6" fillId="0" borderId="19" xfId="1" applyNumberFormat="1" applyFont="1" applyBorder="1" applyAlignment="1">
      <alignment horizontal="center"/>
    </xf>
    <xf numFmtId="0" fontId="6" fillId="0" borderId="0" xfId="0" applyFont="1"/>
    <xf numFmtId="164" fontId="5" fillId="0" borderId="19" xfId="1" applyNumberFormat="1" applyFont="1" applyBorder="1" applyAlignment="1">
      <alignment horizontal="center"/>
    </xf>
    <xf numFmtId="0" fontId="5" fillId="0" borderId="0" xfId="0" applyFont="1"/>
    <xf numFmtId="164" fontId="0" fillId="0" borderId="19" xfId="0" applyNumberFormat="1" applyFill="1" applyBorder="1"/>
    <xf numFmtId="0" fontId="8" fillId="0" borderId="0" xfId="0" applyFont="1"/>
    <xf numFmtId="0" fontId="10" fillId="0" borderId="4" xfId="0" applyFont="1" applyFill="1" applyBorder="1" applyAlignment="1"/>
    <xf numFmtId="0" fontId="10" fillId="0" borderId="4" xfId="0" applyFont="1" applyFill="1" applyBorder="1" applyAlignment="1">
      <alignment horizontal="left"/>
    </xf>
    <xf numFmtId="164" fontId="8" fillId="0" borderId="4" xfId="1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vertical="center"/>
    </xf>
    <xf numFmtId="0" fontId="10" fillId="0" borderId="4" xfId="0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164" fontId="8" fillId="0" borderId="4" xfId="1" applyNumberFormat="1" applyFont="1" applyFill="1" applyBorder="1" applyAlignment="1">
      <alignment horizontal="center" wrapText="1"/>
    </xf>
    <xf numFmtId="164" fontId="8" fillId="0" borderId="8" xfId="1" applyNumberFormat="1" applyFont="1" applyFill="1" applyBorder="1" applyAlignment="1">
      <alignment horizontal="center"/>
    </xf>
    <xf numFmtId="164" fontId="8" fillId="0" borderId="0" xfId="0" applyNumberFormat="1" applyFont="1" applyFill="1"/>
    <xf numFmtId="0" fontId="8" fillId="0" borderId="0" xfId="0" applyFont="1" applyFill="1"/>
    <xf numFmtId="0" fontId="10" fillId="0" borderId="4" xfId="0" applyFont="1" applyFill="1" applyBorder="1"/>
    <xf numFmtId="0" fontId="10" fillId="0" borderId="4" xfId="0" applyFont="1" applyFill="1" applyBorder="1" applyAlignment="1">
      <alignment horizontal="center" vertical="center"/>
    </xf>
    <xf numFmtId="164" fontId="10" fillId="0" borderId="15" xfId="1" applyNumberFormat="1" applyFont="1" applyFill="1" applyBorder="1" applyAlignment="1">
      <alignment horizontal="center"/>
    </xf>
    <xf numFmtId="164" fontId="8" fillId="0" borderId="0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 vertical="center"/>
    </xf>
    <xf numFmtId="164" fontId="8" fillId="0" borderId="14" xfId="1" applyNumberFormat="1" applyFont="1" applyFill="1" applyBorder="1" applyAlignment="1">
      <alignment horizontal="center"/>
    </xf>
    <xf numFmtId="164" fontId="8" fillId="0" borderId="4" xfId="1" applyNumberFormat="1" applyFont="1" applyFill="1" applyBorder="1" applyAlignment="1">
      <alignment horizontal="center" vertical="center"/>
    </xf>
    <xf numFmtId="164" fontId="10" fillId="0" borderId="4" xfId="1" applyNumberFormat="1" applyFont="1" applyFill="1" applyBorder="1"/>
    <xf numFmtId="0" fontId="10" fillId="0" borderId="16" xfId="0" applyFont="1" applyFill="1" applyBorder="1" applyAlignment="1">
      <alignment horizontal="center"/>
    </xf>
    <xf numFmtId="164" fontId="8" fillId="0" borderId="15" xfId="1" applyNumberFormat="1" applyFont="1" applyFill="1" applyBorder="1" applyAlignment="1">
      <alignment horizontal="center"/>
    </xf>
    <xf numFmtId="0" fontId="8" fillId="0" borderId="4" xfId="0" applyFont="1" applyFill="1" applyBorder="1" applyAlignment="1"/>
    <xf numFmtId="0" fontId="8" fillId="0" borderId="4" xfId="0" applyFont="1" applyFill="1" applyBorder="1"/>
    <xf numFmtId="0" fontId="8" fillId="0" borderId="4" xfId="0" applyFont="1" applyFill="1" applyBorder="1" applyAlignment="1">
      <alignment horizontal="center"/>
    </xf>
    <xf numFmtId="164" fontId="8" fillId="0" borderId="20" xfId="1" applyNumberFormat="1" applyFont="1" applyFill="1" applyBorder="1" applyAlignment="1">
      <alignment horizontal="center"/>
    </xf>
    <xf numFmtId="0" fontId="10" fillId="0" borderId="9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164" fontId="10" fillId="0" borderId="15" xfId="1" applyNumberFormat="1" applyFont="1" applyFill="1" applyBorder="1"/>
    <xf numFmtId="164" fontId="10" fillId="0" borderId="15" xfId="1" applyNumberFormat="1" applyFont="1" applyFill="1" applyBorder="1" applyAlignment="1">
      <alignment horizontal="center" vertical="center"/>
    </xf>
    <xf numFmtId="164" fontId="10" fillId="0" borderId="20" xfId="1" applyNumberFormat="1" applyFont="1" applyFill="1" applyBorder="1" applyAlignment="1">
      <alignment horizontal="center"/>
    </xf>
    <xf numFmtId="164" fontId="8" fillId="0" borderId="20" xfId="1" applyNumberFormat="1" applyFont="1" applyFill="1" applyBorder="1" applyAlignment="1">
      <alignment horizontal="center" wrapText="1"/>
    </xf>
    <xf numFmtId="164" fontId="8" fillId="12" borderId="4" xfId="1" applyNumberFormat="1" applyFont="1" applyFill="1" applyBorder="1" applyAlignment="1">
      <alignment horizontal="center"/>
    </xf>
    <xf numFmtId="164" fontId="8" fillId="12" borderId="4" xfId="1" applyNumberFormat="1" applyFont="1" applyFill="1" applyBorder="1" applyAlignment="1">
      <alignment horizontal="center" wrapText="1"/>
    </xf>
    <xf numFmtId="164" fontId="8" fillId="7" borderId="4" xfId="1" applyNumberFormat="1" applyFont="1" applyFill="1" applyBorder="1" applyAlignment="1">
      <alignment horizontal="center"/>
    </xf>
    <xf numFmtId="164" fontId="8" fillId="7" borderId="4" xfId="1" applyNumberFormat="1" applyFont="1" applyFill="1" applyBorder="1" applyAlignment="1">
      <alignment horizontal="center" wrapText="1"/>
    </xf>
    <xf numFmtId="0" fontId="8" fillId="8" borderId="7" xfId="0" applyFont="1" applyFill="1" applyBorder="1" applyAlignment="1">
      <alignment horizontal="center" vertical="center"/>
    </xf>
    <xf numFmtId="164" fontId="8" fillId="8" borderId="4" xfId="1" applyNumberFormat="1" applyFont="1" applyFill="1" applyBorder="1" applyAlignment="1">
      <alignment horizontal="center"/>
    </xf>
    <xf numFmtId="164" fontId="8" fillId="8" borderId="4" xfId="1" applyNumberFormat="1" applyFont="1" applyFill="1" applyBorder="1" applyAlignment="1">
      <alignment horizontal="center" wrapText="1"/>
    </xf>
    <xf numFmtId="0" fontId="8" fillId="8" borderId="0" xfId="0" applyFont="1" applyFill="1"/>
    <xf numFmtId="2" fontId="8" fillId="12" borderId="4" xfId="1" applyNumberFormat="1" applyFont="1" applyFill="1" applyBorder="1" applyAlignment="1">
      <alignment horizontal="center" wrapText="1"/>
    </xf>
    <xf numFmtId="164" fontId="8" fillId="13" borderId="4" xfId="1" applyNumberFormat="1" applyFont="1" applyFill="1" applyBorder="1" applyAlignment="1">
      <alignment horizontal="center"/>
    </xf>
    <xf numFmtId="164" fontId="8" fillId="13" borderId="4" xfId="1" applyNumberFormat="1" applyFont="1" applyFill="1" applyBorder="1" applyAlignment="1">
      <alignment horizontal="center" wrapText="1"/>
    </xf>
    <xf numFmtId="164" fontId="8" fillId="10" borderId="4" xfId="1" applyNumberFormat="1" applyFont="1" applyFill="1" applyBorder="1" applyAlignment="1">
      <alignment horizontal="center"/>
    </xf>
    <xf numFmtId="164" fontId="8" fillId="10" borderId="4" xfId="1" applyNumberFormat="1" applyFont="1" applyFill="1" applyBorder="1" applyAlignment="1">
      <alignment horizontal="center" wrapText="1"/>
    </xf>
    <xf numFmtId="164" fontId="8" fillId="14" borderId="4" xfId="1" applyNumberFormat="1" applyFont="1" applyFill="1" applyBorder="1" applyAlignment="1">
      <alignment horizontal="center"/>
    </xf>
    <xf numFmtId="164" fontId="8" fillId="14" borderId="4" xfId="1" applyNumberFormat="1" applyFont="1" applyFill="1" applyBorder="1" applyAlignment="1">
      <alignment horizontal="center" wrapText="1"/>
    </xf>
    <xf numFmtId="0" fontId="8" fillId="0" borderId="19" xfId="0" applyFont="1" applyBorder="1"/>
    <xf numFmtId="164" fontId="8" fillId="15" borderId="4" xfId="1" applyNumberFormat="1" applyFont="1" applyFill="1" applyBorder="1" applyAlignment="1">
      <alignment horizontal="center"/>
    </xf>
    <xf numFmtId="164" fontId="8" fillId="15" borderId="4" xfId="1" applyNumberFormat="1" applyFont="1" applyFill="1" applyBorder="1" applyAlignment="1">
      <alignment horizontal="center" wrapText="1"/>
    </xf>
    <xf numFmtId="164" fontId="8" fillId="16" borderId="4" xfId="1" applyNumberFormat="1" applyFont="1" applyFill="1" applyBorder="1" applyAlignment="1">
      <alignment horizontal="center"/>
    </xf>
    <xf numFmtId="164" fontId="8" fillId="16" borderId="4" xfId="1" applyNumberFormat="1" applyFont="1" applyFill="1" applyBorder="1" applyAlignment="1">
      <alignment horizontal="center" wrapText="1"/>
    </xf>
    <xf numFmtId="164" fontId="8" fillId="16" borderId="8" xfId="1" applyNumberFormat="1" applyFont="1" applyFill="1" applyBorder="1" applyAlignment="1">
      <alignment horizontal="center"/>
    </xf>
    <xf numFmtId="164" fontId="8" fillId="9" borderId="4" xfId="1" applyNumberFormat="1" applyFont="1" applyFill="1" applyBorder="1" applyAlignment="1">
      <alignment horizontal="center"/>
    </xf>
    <xf numFmtId="164" fontId="10" fillId="9" borderId="4" xfId="1" applyNumberFormat="1" applyFont="1" applyFill="1" applyBorder="1" applyAlignment="1">
      <alignment horizontal="center"/>
    </xf>
    <xf numFmtId="164" fontId="8" fillId="9" borderId="4" xfId="1" applyNumberFormat="1" applyFont="1" applyFill="1" applyBorder="1" applyAlignment="1">
      <alignment horizontal="center" wrapText="1"/>
    </xf>
    <xf numFmtId="164" fontId="8" fillId="9" borderId="8" xfId="1" applyNumberFormat="1" applyFont="1" applyFill="1" applyBorder="1" applyAlignment="1">
      <alignment horizontal="center"/>
    </xf>
    <xf numFmtId="164" fontId="8" fillId="2" borderId="4" xfId="1" applyNumberFormat="1" applyFont="1" applyFill="1" applyBorder="1" applyAlignment="1">
      <alignment horizontal="center"/>
    </xf>
    <xf numFmtId="164" fontId="8" fillId="2" borderId="4" xfId="1" applyNumberFormat="1" applyFont="1" applyFill="1" applyBorder="1" applyAlignment="1">
      <alignment horizontal="center" wrapText="1"/>
    </xf>
    <xf numFmtId="164" fontId="8" fillId="3" borderId="4" xfId="1" applyNumberFormat="1" applyFont="1" applyFill="1" applyBorder="1" applyAlignment="1">
      <alignment horizontal="center"/>
    </xf>
    <xf numFmtId="164" fontId="8" fillId="3" borderId="4" xfId="1" applyNumberFormat="1" applyFont="1" applyFill="1" applyBorder="1" applyAlignment="1">
      <alignment horizontal="center" wrapText="1"/>
    </xf>
    <xf numFmtId="0" fontId="10" fillId="15" borderId="4" xfId="0" applyFont="1" applyFill="1" applyBorder="1" applyAlignment="1">
      <alignment horizontal="center"/>
    </xf>
    <xf numFmtId="164" fontId="8" fillId="11" borderId="4" xfId="1" applyNumberFormat="1" applyFont="1" applyFill="1" applyBorder="1" applyAlignment="1">
      <alignment horizontal="center"/>
    </xf>
    <xf numFmtId="164" fontId="8" fillId="11" borderId="4" xfId="1" applyNumberFormat="1" applyFont="1" applyFill="1" applyBorder="1" applyAlignment="1">
      <alignment horizontal="center" wrapText="1"/>
    </xf>
    <xf numFmtId="0" fontId="10" fillId="9" borderId="4" xfId="0" applyFont="1" applyFill="1" applyBorder="1" applyAlignment="1"/>
    <xf numFmtId="0" fontId="10" fillId="9" borderId="4" xfId="0" applyFont="1" applyFill="1" applyBorder="1" applyAlignment="1">
      <alignment vertical="center"/>
    </xf>
    <xf numFmtId="0" fontId="10" fillId="9" borderId="4" xfId="0" applyFont="1" applyFill="1" applyBorder="1"/>
    <xf numFmtId="0" fontId="10" fillId="16" borderId="4" xfId="0" applyFont="1" applyFill="1" applyBorder="1" applyAlignment="1"/>
    <xf numFmtId="0" fontId="11" fillId="4" borderId="1" xfId="0" applyFont="1" applyFill="1" applyBorder="1" applyAlignment="1">
      <alignment horizontal="center" vertical="center" wrapText="1"/>
    </xf>
    <xf numFmtId="164" fontId="11" fillId="4" borderId="5" xfId="1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164" fontId="13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164" fontId="12" fillId="3" borderId="13" xfId="0" applyNumberFormat="1" applyFont="1" applyFill="1" applyBorder="1" applyAlignment="1">
      <alignment vertical="center"/>
    </xf>
    <xf numFmtId="164" fontId="12" fillId="3" borderId="17" xfId="0" applyNumberFormat="1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164" fontId="15" fillId="0" borderId="0" xfId="0" applyNumberFormat="1" applyFont="1" applyFill="1"/>
    <xf numFmtId="0" fontId="15" fillId="0" borderId="0" xfId="0" applyFont="1" applyFill="1"/>
    <xf numFmtId="0" fontId="15" fillId="0" borderId="0" xfId="0" applyFont="1"/>
    <xf numFmtId="164" fontId="16" fillId="0" borderId="0" xfId="0" applyNumberFormat="1" applyFont="1" applyFill="1"/>
    <xf numFmtId="43" fontId="16" fillId="0" borderId="0" xfId="0" applyNumberFormat="1" applyFont="1" applyFill="1"/>
    <xf numFmtId="0" fontId="16" fillId="0" borderId="0" xfId="0" applyFont="1" applyFill="1"/>
    <xf numFmtId="0" fontId="16" fillId="0" borderId="0" xfId="0" applyFont="1"/>
    <xf numFmtId="164" fontId="8" fillId="17" borderId="4" xfId="1" applyNumberFormat="1" applyFont="1" applyFill="1" applyBorder="1" applyAlignment="1">
      <alignment horizontal="center"/>
    </xf>
    <xf numFmtId="164" fontId="8" fillId="17" borderId="4" xfId="1" applyNumberFormat="1" applyFont="1" applyFill="1" applyBorder="1" applyAlignment="1">
      <alignment horizontal="center" wrapText="1"/>
    </xf>
    <xf numFmtId="0" fontId="18" fillId="0" borderId="0" xfId="0" applyFont="1"/>
    <xf numFmtId="0" fontId="19" fillId="0" borderId="0" xfId="0" applyFont="1"/>
    <xf numFmtId="164" fontId="19" fillId="0" borderId="0" xfId="1" applyNumberFormat="1" applyFont="1"/>
    <xf numFmtId="0" fontId="19" fillId="0" borderId="0" xfId="0" applyFont="1" applyFill="1"/>
    <xf numFmtId="164" fontId="20" fillId="4" borderId="10" xfId="1" applyNumberFormat="1" applyFont="1" applyFill="1" applyBorder="1" applyAlignment="1">
      <alignment horizontal="center" vertical="center" wrapText="1"/>
    </xf>
    <xf numFmtId="164" fontId="20" fillId="4" borderId="5" xfId="1" applyNumberFormat="1" applyFont="1" applyFill="1" applyBorder="1" applyAlignment="1">
      <alignment horizontal="center" vertical="center" wrapText="1"/>
    </xf>
    <xf numFmtId="164" fontId="20" fillId="4" borderId="5" xfId="1" applyNumberFormat="1" applyFont="1" applyFill="1" applyBorder="1" applyAlignment="1">
      <alignment horizontal="left" vertical="center" wrapText="1"/>
    </xf>
    <xf numFmtId="164" fontId="20" fillId="5" borderId="5" xfId="1" applyNumberFormat="1" applyFont="1" applyFill="1" applyBorder="1" applyAlignment="1">
      <alignment horizontal="center" vertical="center" wrapText="1"/>
    </xf>
    <xf numFmtId="164" fontId="20" fillId="6" borderId="5" xfId="1" applyNumberFormat="1" applyFont="1" applyFill="1" applyBorder="1" applyAlignment="1">
      <alignment horizontal="center" vertical="center" wrapText="1"/>
    </xf>
    <xf numFmtId="164" fontId="20" fillId="4" borderId="2" xfId="1" applyNumberFormat="1" applyFont="1" applyFill="1" applyBorder="1" applyAlignment="1">
      <alignment horizontal="center" vertical="center" wrapText="1"/>
    </xf>
    <xf numFmtId="164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4" fontId="22" fillId="4" borderId="5" xfId="1" applyNumberFormat="1" applyFont="1" applyFill="1" applyBorder="1" applyAlignment="1" applyProtection="1">
      <alignment horizontal="center" vertical="center" wrapText="1"/>
    </xf>
    <xf numFmtId="0" fontId="23" fillId="0" borderId="0" xfId="0" applyFont="1"/>
    <xf numFmtId="0" fontId="10" fillId="17" borderId="4" xfId="0" applyFont="1" applyFill="1" applyBorder="1" applyAlignment="1"/>
    <xf numFmtId="164" fontId="10" fillId="17" borderId="4" xfId="1" applyNumberFormat="1" applyFont="1" applyFill="1" applyBorder="1" applyAlignment="1">
      <alignment horizontal="center"/>
    </xf>
    <xf numFmtId="164" fontId="8" fillId="17" borderId="8" xfId="1" applyNumberFormat="1" applyFont="1" applyFill="1" applyBorder="1" applyAlignment="1">
      <alignment horizontal="center"/>
    </xf>
    <xf numFmtId="164" fontId="24" fillId="4" borderId="6" xfId="1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8" borderId="4" xfId="0" applyFont="1" applyFill="1" applyBorder="1" applyAlignment="1">
      <alignment horizontal="center"/>
    </xf>
    <xf numFmtId="165" fontId="26" fillId="8" borderId="4" xfId="0" applyNumberFormat="1" applyFont="1" applyFill="1" applyBorder="1" applyAlignment="1">
      <alignment horizontal="center"/>
    </xf>
    <xf numFmtId="164" fontId="26" fillId="8" borderId="4" xfId="1" applyNumberFormat="1" applyFont="1" applyFill="1" applyBorder="1" applyAlignment="1">
      <alignment horizontal="center"/>
    </xf>
    <xf numFmtId="0" fontId="26" fillId="8" borderId="15" xfId="0" applyFont="1" applyFill="1" applyBorder="1" applyAlignment="1">
      <alignment horizontal="center"/>
    </xf>
    <xf numFmtId="165" fontId="26" fillId="8" borderId="0" xfId="0" applyNumberFormat="1" applyFont="1" applyFill="1" applyAlignment="1">
      <alignment horizontal="center"/>
    </xf>
    <xf numFmtId="0" fontId="26" fillId="8" borderId="0" xfId="0" applyFont="1" applyFill="1" applyAlignment="1">
      <alignment horizontal="center"/>
    </xf>
    <xf numFmtId="164" fontId="26" fillId="8" borderId="0" xfId="1" applyNumberFormat="1" applyFont="1" applyFill="1" applyAlignment="1">
      <alignment horizontal="center"/>
    </xf>
    <xf numFmtId="165" fontId="26" fillId="8" borderId="4" xfId="0" applyNumberFormat="1" applyFont="1" applyFill="1" applyBorder="1" applyAlignment="1">
      <alignment horizontal="center" vertical="center"/>
    </xf>
    <xf numFmtId="0" fontId="26" fillId="8" borderId="4" xfId="0" applyFont="1" applyFill="1" applyBorder="1" applyAlignment="1">
      <alignment horizontal="center" vertical="center"/>
    </xf>
    <xf numFmtId="165" fontId="26" fillId="12" borderId="4" xfId="0" applyNumberFormat="1" applyFont="1" applyFill="1" applyBorder="1" applyAlignment="1">
      <alignment horizontal="center"/>
    </xf>
    <xf numFmtId="0" fontId="26" fillId="12" borderId="4" xfId="0" applyFont="1" applyFill="1" applyBorder="1" applyAlignment="1">
      <alignment horizontal="center"/>
    </xf>
    <xf numFmtId="164" fontId="26" fillId="12" borderId="4" xfId="1" applyNumberFormat="1" applyFont="1" applyFill="1" applyBorder="1" applyAlignment="1">
      <alignment horizontal="center"/>
    </xf>
    <xf numFmtId="165" fontId="26" fillId="12" borderId="4" xfId="0" applyNumberFormat="1" applyFont="1" applyFill="1" applyBorder="1" applyAlignment="1">
      <alignment horizontal="center" vertical="center"/>
    </xf>
    <xf numFmtId="0" fontId="26" fillId="12" borderId="4" xfId="0" applyFont="1" applyFill="1" applyBorder="1" applyAlignment="1">
      <alignment horizontal="center" vertical="center"/>
    </xf>
    <xf numFmtId="165" fontId="26" fillId="12" borderId="4" xfId="0" applyNumberFormat="1" applyFont="1" applyFill="1" applyBorder="1"/>
    <xf numFmtId="165" fontId="26" fillId="17" borderId="4" xfId="0" applyNumberFormat="1" applyFont="1" applyFill="1" applyBorder="1" applyAlignment="1">
      <alignment horizontal="center"/>
    </xf>
    <xf numFmtId="0" fontId="26" fillId="17" borderId="4" xfId="0" applyFont="1" applyFill="1" applyBorder="1" applyAlignment="1">
      <alignment horizontal="center"/>
    </xf>
    <xf numFmtId="164" fontId="26" fillId="17" borderId="4" xfId="1" applyNumberFormat="1" applyFont="1" applyFill="1" applyBorder="1" applyAlignment="1">
      <alignment horizontal="center"/>
    </xf>
    <xf numFmtId="165" fontId="26" fillId="13" borderId="4" xfId="0" applyNumberFormat="1" applyFont="1" applyFill="1" applyBorder="1" applyAlignment="1">
      <alignment horizontal="center"/>
    </xf>
    <xf numFmtId="0" fontId="26" fillId="13" borderId="4" xfId="0" applyFont="1" applyFill="1" applyBorder="1" applyAlignment="1">
      <alignment horizontal="center"/>
    </xf>
    <xf numFmtId="164" fontId="26" fillId="13" borderId="4" xfId="1" applyNumberFormat="1" applyFont="1" applyFill="1" applyBorder="1" applyAlignment="1">
      <alignment horizontal="center"/>
    </xf>
    <xf numFmtId="165" fontId="28" fillId="13" borderId="4" xfId="0" applyNumberFormat="1" applyFont="1" applyFill="1" applyBorder="1" applyAlignment="1">
      <alignment horizontal="center"/>
    </xf>
    <xf numFmtId="0" fontId="28" fillId="13" borderId="4" xfId="0" applyFont="1" applyFill="1" applyBorder="1" applyAlignment="1">
      <alignment horizontal="center"/>
    </xf>
    <xf numFmtId="165" fontId="26" fillId="13" borderId="4" xfId="0" applyNumberFormat="1" applyFont="1" applyFill="1" applyBorder="1" applyAlignment="1">
      <alignment horizontal="center" vertical="center"/>
    </xf>
    <xf numFmtId="165" fontId="26" fillId="7" borderId="4" xfId="0" applyNumberFormat="1" applyFont="1" applyFill="1" applyBorder="1" applyAlignment="1">
      <alignment horizontal="center"/>
    </xf>
    <xf numFmtId="0" fontId="26" fillId="7" borderId="4" xfId="0" applyFont="1" applyFill="1" applyBorder="1" applyAlignment="1">
      <alignment horizontal="center"/>
    </xf>
    <xf numFmtId="0" fontId="26" fillId="7" borderId="4" xfId="0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/>
    </xf>
    <xf numFmtId="165" fontId="26" fillId="10" borderId="22" xfId="0" applyNumberFormat="1" applyFont="1" applyFill="1" applyBorder="1" applyAlignment="1">
      <alignment horizontal="center"/>
    </xf>
    <xf numFmtId="0" fontId="26" fillId="10" borderId="4" xfId="0" applyFont="1" applyFill="1" applyBorder="1" applyAlignment="1">
      <alignment horizontal="center"/>
    </xf>
    <xf numFmtId="165" fontId="26" fillId="10" borderId="4" xfId="0" applyNumberFormat="1" applyFont="1" applyFill="1" applyBorder="1" applyAlignment="1">
      <alignment horizontal="center"/>
    </xf>
    <xf numFmtId="0" fontId="26" fillId="14" borderId="16" xfId="0" applyFont="1" applyFill="1" applyBorder="1" applyAlignment="1">
      <alignment horizontal="center"/>
    </xf>
    <xf numFmtId="165" fontId="26" fillId="14" borderId="4" xfId="0" applyNumberFormat="1" applyFont="1" applyFill="1" applyBorder="1" applyAlignment="1">
      <alignment horizontal="center"/>
    </xf>
    <xf numFmtId="0" fontId="26" fillId="14" borderId="4" xfId="0" applyFont="1" applyFill="1" applyBorder="1" applyAlignment="1">
      <alignment horizontal="center"/>
    </xf>
    <xf numFmtId="165" fontId="26" fillId="14" borderId="16" xfId="0" applyNumberFormat="1" applyFont="1" applyFill="1" applyBorder="1" applyAlignment="1">
      <alignment horizontal="center"/>
    </xf>
    <xf numFmtId="0" fontId="26" fillId="17" borderId="22" xfId="0" applyFont="1" applyFill="1" applyBorder="1" applyAlignment="1">
      <alignment horizontal="center"/>
    </xf>
    <xf numFmtId="165" fontId="26" fillId="9" borderId="22" xfId="0" applyNumberFormat="1" applyFont="1" applyFill="1" applyBorder="1" applyAlignment="1">
      <alignment horizontal="center"/>
    </xf>
    <xf numFmtId="165" fontId="26" fillId="9" borderId="4" xfId="0" applyNumberFormat="1" applyFont="1" applyFill="1" applyBorder="1" applyAlignment="1">
      <alignment horizontal="center"/>
    </xf>
    <xf numFmtId="165" fontId="26" fillId="9" borderId="4" xfId="0" applyNumberFormat="1" applyFont="1" applyFill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/>
    </xf>
    <xf numFmtId="0" fontId="26" fillId="9" borderId="4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vertical="top"/>
    </xf>
    <xf numFmtId="0" fontId="26" fillId="10" borderId="4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wrapText="1"/>
    </xf>
    <xf numFmtId="165" fontId="26" fillId="10" borderId="4" xfId="0" applyNumberFormat="1" applyFont="1" applyFill="1" applyBorder="1" applyAlignment="1">
      <alignment horizontal="center" vertical="center"/>
    </xf>
    <xf numFmtId="165" fontId="26" fillId="10" borderId="4" xfId="0" applyNumberFormat="1" applyFont="1" applyFill="1" applyBorder="1" applyAlignment="1">
      <alignment horizontal="center" vertical="top" wrapText="1"/>
    </xf>
    <xf numFmtId="0" fontId="26" fillId="10" borderId="4" xfId="0" applyFont="1" applyFill="1" applyBorder="1" applyAlignment="1">
      <alignment horizontal="center" vertical="top" wrapText="1"/>
    </xf>
    <xf numFmtId="1" fontId="26" fillId="10" borderId="4" xfId="0" applyNumberFormat="1" applyFont="1" applyFill="1" applyBorder="1" applyAlignment="1">
      <alignment horizontal="center"/>
    </xf>
    <xf numFmtId="0" fontId="26" fillId="10" borderId="4" xfId="1" applyNumberFormat="1" applyFont="1" applyFill="1" applyBorder="1" applyAlignment="1">
      <alignment horizontal="center" vertical="center"/>
    </xf>
    <xf numFmtId="165" fontId="26" fillId="10" borderId="16" xfId="0" applyNumberFormat="1" applyFont="1" applyFill="1" applyBorder="1" applyAlignment="1">
      <alignment horizontal="center"/>
    </xf>
    <xf numFmtId="1" fontId="26" fillId="10" borderId="16" xfId="0" applyNumberFormat="1" applyFont="1" applyFill="1" applyBorder="1" applyAlignment="1">
      <alignment horizontal="center"/>
    </xf>
    <xf numFmtId="0" fontId="26" fillId="16" borderId="22" xfId="0" applyFont="1" applyFill="1" applyBorder="1" applyAlignment="1">
      <alignment horizontal="center"/>
    </xf>
    <xf numFmtId="165" fontId="26" fillId="16" borderId="22" xfId="0" applyNumberFormat="1" applyFont="1" applyFill="1" applyBorder="1" applyAlignment="1">
      <alignment horizontal="center"/>
    </xf>
    <xf numFmtId="0" fontId="26" fillId="16" borderId="22" xfId="1" applyNumberFormat="1" applyFont="1" applyFill="1" applyBorder="1" applyAlignment="1">
      <alignment horizontal="center" vertical="center"/>
    </xf>
    <xf numFmtId="0" fontId="26" fillId="16" borderId="22" xfId="0" applyFont="1" applyFill="1" applyBorder="1" applyAlignment="1">
      <alignment horizontal="center" vertical="center"/>
    </xf>
    <xf numFmtId="164" fontId="10" fillId="16" borderId="4" xfId="1" applyNumberFormat="1" applyFont="1" applyFill="1" applyBorder="1" applyAlignment="1">
      <alignment horizontal="center"/>
    </xf>
    <xf numFmtId="0" fontId="26" fillId="16" borderId="4" xfId="0" applyFont="1" applyFill="1" applyBorder="1" applyAlignment="1">
      <alignment horizontal="center"/>
    </xf>
    <xf numFmtId="165" fontId="26" fillId="16" borderId="4" xfId="0" applyNumberFormat="1" applyFont="1" applyFill="1" applyBorder="1" applyAlignment="1">
      <alignment horizontal="center"/>
    </xf>
    <xf numFmtId="0" fontId="26" fillId="16" borderId="4" xfId="1" applyNumberFormat="1" applyFont="1" applyFill="1" applyBorder="1" applyAlignment="1">
      <alignment horizontal="center" vertical="center"/>
    </xf>
    <xf numFmtId="0" fontId="26" fillId="16" borderId="4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left"/>
    </xf>
    <xf numFmtId="1" fontId="26" fillId="16" borderId="4" xfId="0" applyNumberFormat="1" applyFont="1" applyFill="1" applyBorder="1" applyAlignment="1">
      <alignment horizontal="center"/>
    </xf>
    <xf numFmtId="0" fontId="27" fillId="16" borderId="0" xfId="1" applyNumberFormat="1" applyFont="1" applyFill="1" applyBorder="1" applyAlignment="1">
      <alignment horizontal="center" vertical="center"/>
    </xf>
    <xf numFmtId="0" fontId="26" fillId="17" borderId="4" xfId="1" applyNumberFormat="1" applyFont="1" applyFill="1" applyBorder="1" applyAlignment="1">
      <alignment horizontal="center" vertical="center"/>
    </xf>
    <xf numFmtId="165" fontId="29" fillId="16" borderId="4" xfId="0" applyNumberFormat="1" applyFont="1" applyFill="1" applyBorder="1" applyAlignment="1">
      <alignment horizontal="center"/>
    </xf>
    <xf numFmtId="0" fontId="29" fillId="16" borderId="4" xfId="0" applyFont="1" applyFill="1" applyBorder="1" applyAlignment="1">
      <alignment horizontal="center"/>
    </xf>
    <xf numFmtId="0" fontId="29" fillId="16" borderId="4" xfId="1" applyNumberFormat="1" applyFont="1" applyFill="1" applyBorder="1" applyAlignment="1">
      <alignment horizontal="center" vertical="center"/>
    </xf>
    <xf numFmtId="165" fontId="26" fillId="2" borderId="22" xfId="0" applyNumberFormat="1" applyFont="1" applyFill="1" applyBorder="1" applyAlignment="1">
      <alignment horizontal="center"/>
    </xf>
    <xf numFmtId="0" fontId="26" fillId="2" borderId="22" xfId="0" applyFont="1" applyFill="1" applyBorder="1" applyAlignment="1">
      <alignment horizontal="center"/>
    </xf>
    <xf numFmtId="165" fontId="26" fillId="2" borderId="4" xfId="0" applyNumberFormat="1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15" xfId="0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165" fontId="26" fillId="3" borderId="4" xfId="0" applyNumberFormat="1" applyFont="1" applyFill="1" applyBorder="1" applyAlignment="1">
      <alignment horizontal="center"/>
    </xf>
    <xf numFmtId="0" fontId="26" fillId="3" borderId="4" xfId="1" applyNumberFormat="1" applyFont="1" applyFill="1" applyBorder="1" applyAlignment="1">
      <alignment horizontal="center"/>
    </xf>
    <xf numFmtId="0" fontId="26" fillId="17" borderId="4" xfId="1" applyNumberFormat="1" applyFont="1" applyFill="1" applyBorder="1" applyAlignment="1">
      <alignment horizontal="center"/>
    </xf>
    <xf numFmtId="0" fontId="26" fillId="11" borderId="4" xfId="0" applyFont="1" applyFill="1" applyBorder="1" applyAlignment="1">
      <alignment horizontal="center"/>
    </xf>
    <xf numFmtId="165" fontId="26" fillId="11" borderId="4" xfId="0" applyNumberFormat="1" applyFont="1" applyFill="1" applyBorder="1" applyAlignment="1">
      <alignment horizontal="center"/>
    </xf>
    <xf numFmtId="0" fontId="26" fillId="11" borderId="4" xfId="1" applyNumberFormat="1" applyFont="1" applyFill="1" applyBorder="1" applyAlignment="1">
      <alignment horizontal="center"/>
    </xf>
    <xf numFmtId="165" fontId="27" fillId="3" borderId="4" xfId="0" applyNumberFormat="1" applyFont="1" applyFill="1" applyBorder="1" applyAlignment="1">
      <alignment horizontal="center"/>
    </xf>
    <xf numFmtId="0" fontId="27" fillId="3" borderId="4" xfId="0" applyFont="1" applyFill="1" applyBorder="1" applyAlignment="1">
      <alignment horizontal="center"/>
    </xf>
    <xf numFmtId="0" fontId="27" fillId="3" borderId="0" xfId="1" applyNumberFormat="1" applyFont="1" applyFill="1" applyBorder="1" applyAlignment="1">
      <alignment horizontal="center"/>
    </xf>
    <xf numFmtId="0" fontId="26" fillId="15" borderId="22" xfId="0" applyFont="1" applyFill="1" applyBorder="1" applyAlignment="1">
      <alignment horizontal="center"/>
    </xf>
    <xf numFmtId="165" fontId="26" fillId="15" borderId="22" xfId="0" applyNumberFormat="1" applyFont="1" applyFill="1" applyBorder="1" applyAlignment="1">
      <alignment horizontal="center"/>
    </xf>
    <xf numFmtId="0" fontId="26" fillId="15" borderId="4" xfId="0" applyFont="1" applyFill="1" applyBorder="1" applyAlignment="1">
      <alignment horizontal="center"/>
    </xf>
    <xf numFmtId="165" fontId="26" fillId="15" borderId="4" xfId="0" applyNumberFormat="1" applyFont="1" applyFill="1" applyBorder="1" applyAlignment="1">
      <alignment horizontal="center"/>
    </xf>
    <xf numFmtId="0" fontId="27" fillId="15" borderId="15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  <xf numFmtId="165" fontId="26" fillId="17" borderId="22" xfId="0" applyNumberFormat="1" applyFont="1" applyFill="1" applyBorder="1" applyAlignment="1">
      <alignment horizontal="center"/>
    </xf>
    <xf numFmtId="164" fontId="26" fillId="17" borderId="22" xfId="1" applyNumberFormat="1" applyFont="1" applyFill="1" applyBorder="1" applyAlignment="1">
      <alignment horizontal="center"/>
    </xf>
    <xf numFmtId="164" fontId="8" fillId="17" borderId="0" xfId="1" applyNumberFormat="1" applyFont="1" applyFill="1" applyBorder="1" applyAlignment="1">
      <alignment horizontal="center"/>
    </xf>
    <xf numFmtId="0" fontId="8" fillId="17" borderId="4" xfId="1" applyNumberFormat="1" applyFont="1" applyFill="1" applyBorder="1" applyAlignment="1">
      <alignment horizontal="center" wrapText="1"/>
    </xf>
    <xf numFmtId="165" fontId="26" fillId="17" borderId="4" xfId="0" applyNumberFormat="1" applyFont="1" applyFill="1" applyBorder="1" applyAlignment="1">
      <alignment horizontal="center" vertical="center"/>
    </xf>
    <xf numFmtId="0" fontId="31" fillId="17" borderId="24" xfId="0" applyFont="1" applyFill="1" applyBorder="1" applyAlignment="1">
      <alignment horizontal="center"/>
    </xf>
    <xf numFmtId="0" fontId="31" fillId="8" borderId="4" xfId="0" applyFont="1" applyFill="1" applyBorder="1" applyAlignment="1">
      <alignment horizontal="center"/>
    </xf>
    <xf numFmtId="0" fontId="31" fillId="8" borderId="15" xfId="0" applyFont="1" applyFill="1" applyBorder="1" applyAlignment="1">
      <alignment horizontal="center"/>
    </xf>
    <xf numFmtId="0" fontId="32" fillId="8" borderId="0" xfId="0" applyFont="1" applyFill="1" applyAlignment="1">
      <alignment horizontal="center"/>
    </xf>
    <xf numFmtId="0" fontId="31" fillId="17" borderId="4" xfId="0" applyFont="1" applyFill="1" applyBorder="1" applyAlignment="1">
      <alignment horizontal="center"/>
    </xf>
    <xf numFmtId="0" fontId="31" fillId="13" borderId="4" xfId="0" applyFont="1" applyFill="1" applyBorder="1" applyAlignment="1">
      <alignment horizontal="center"/>
    </xf>
    <xf numFmtId="0" fontId="31" fillId="7" borderId="4" xfId="0" applyFont="1" applyFill="1" applyBorder="1" applyAlignment="1">
      <alignment horizontal="center"/>
    </xf>
    <xf numFmtId="164" fontId="30" fillId="14" borderId="4" xfId="1" applyNumberFormat="1" applyFont="1" applyFill="1" applyBorder="1" applyAlignment="1">
      <alignment horizontal="center"/>
    </xf>
    <xf numFmtId="0" fontId="18" fillId="8" borderId="7" xfId="0" applyFont="1" applyFill="1" applyBorder="1" applyAlignment="1">
      <alignment horizontal="center" vertical="center"/>
    </xf>
    <xf numFmtId="164" fontId="18" fillId="17" borderId="4" xfId="1" applyNumberFormat="1" applyFont="1" applyFill="1" applyBorder="1" applyAlignment="1">
      <alignment horizontal="center"/>
    </xf>
    <xf numFmtId="0" fontId="33" fillId="17" borderId="4" xfId="0" applyFont="1" applyFill="1" applyBorder="1" applyAlignment="1">
      <alignment horizontal="left"/>
    </xf>
    <xf numFmtId="0" fontId="33" fillId="17" borderId="4" xfId="0" applyFont="1" applyFill="1" applyBorder="1" applyAlignment="1"/>
    <xf numFmtId="164" fontId="33" fillId="17" borderId="4" xfId="1" applyNumberFormat="1" applyFont="1" applyFill="1" applyBorder="1" applyAlignment="1">
      <alignment horizontal="center"/>
    </xf>
    <xf numFmtId="164" fontId="18" fillId="0" borderId="0" xfId="0" applyNumberFormat="1" applyFont="1" applyFill="1"/>
    <xf numFmtId="0" fontId="18" fillId="0" borderId="0" xfId="0" applyFont="1" applyFill="1"/>
    <xf numFmtId="164" fontId="18" fillId="17" borderId="8" xfId="1" applyNumberFormat="1" applyFont="1" applyFill="1" applyBorder="1" applyAlignment="1">
      <alignment horizontal="center"/>
    </xf>
    <xf numFmtId="0" fontId="34" fillId="17" borderId="22" xfId="0" applyFont="1" applyFill="1" applyBorder="1" applyAlignment="1">
      <alignment horizontal="center"/>
    </xf>
    <xf numFmtId="0" fontId="33" fillId="17" borderId="22" xfId="0" applyFont="1" applyFill="1" applyBorder="1" applyAlignment="1">
      <alignment horizontal="left"/>
    </xf>
    <xf numFmtId="0" fontId="33" fillId="17" borderId="22" xfId="0" applyFont="1" applyFill="1" applyBorder="1" applyAlignment="1"/>
    <xf numFmtId="0" fontId="34" fillId="17" borderId="4" xfId="0" applyFont="1" applyFill="1" applyBorder="1" applyAlignment="1">
      <alignment horizontal="center"/>
    </xf>
    <xf numFmtId="0" fontId="33" fillId="17" borderId="4" xfId="0" applyFont="1" applyFill="1" applyBorder="1" applyAlignment="1">
      <alignment vertical="center"/>
    </xf>
    <xf numFmtId="0" fontId="33" fillId="17" borderId="4" xfId="0" applyFont="1" applyFill="1" applyBorder="1"/>
    <xf numFmtId="164" fontId="18" fillId="9" borderId="4" xfId="1" applyNumberFormat="1" applyFont="1" applyFill="1" applyBorder="1" applyAlignment="1">
      <alignment horizontal="center"/>
    </xf>
    <xf numFmtId="0" fontId="34" fillId="9" borderId="4" xfId="0" applyFont="1" applyFill="1" applyBorder="1" applyAlignment="1">
      <alignment horizontal="center"/>
    </xf>
    <xf numFmtId="0" fontId="33" fillId="9" borderId="4" xfId="0" applyFont="1" applyFill="1" applyBorder="1" applyAlignment="1"/>
    <xf numFmtId="164" fontId="33" fillId="9" borderId="4" xfId="1" applyNumberFormat="1" applyFont="1" applyFill="1" applyBorder="1" applyAlignment="1">
      <alignment horizontal="center"/>
    </xf>
    <xf numFmtId="164" fontId="18" fillId="9" borderId="8" xfId="1" applyNumberFormat="1" applyFont="1" applyFill="1" applyBorder="1" applyAlignment="1">
      <alignment horizontal="center"/>
    </xf>
    <xf numFmtId="0" fontId="33" fillId="9" borderId="4" xfId="0" applyFont="1" applyFill="1" applyBorder="1" applyAlignment="1">
      <alignment horizontal="left"/>
    </xf>
    <xf numFmtId="0" fontId="33" fillId="9" borderId="4" xfId="0" applyFont="1" applyFill="1" applyBorder="1"/>
    <xf numFmtId="0" fontId="33" fillId="9" borderId="4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35" fillId="0" borderId="0" xfId="0" applyFont="1"/>
    <xf numFmtId="164" fontId="18" fillId="12" borderId="4" xfId="1" applyNumberFormat="1" applyFont="1" applyFill="1" applyBorder="1" applyAlignment="1">
      <alignment horizontal="center"/>
    </xf>
    <xf numFmtId="0" fontId="34" fillId="12" borderId="21" xfId="0" applyFont="1" applyFill="1" applyBorder="1" applyAlignment="1">
      <alignment horizontal="center"/>
    </xf>
    <xf numFmtId="0" fontId="33" fillId="12" borderId="4" xfId="0" applyFont="1" applyFill="1" applyBorder="1" applyAlignment="1">
      <alignment vertical="center"/>
    </xf>
    <xf numFmtId="164" fontId="33" fillId="12" borderId="4" xfId="1" applyNumberFormat="1" applyFont="1" applyFill="1" applyBorder="1" applyAlignment="1">
      <alignment horizontal="center"/>
    </xf>
    <xf numFmtId="164" fontId="18" fillId="12" borderId="8" xfId="1" applyNumberFormat="1" applyFont="1" applyFill="1" applyBorder="1" applyAlignment="1">
      <alignment horizontal="center"/>
    </xf>
    <xf numFmtId="164" fontId="18" fillId="0" borderId="8" xfId="1" applyNumberFormat="1" applyFont="1" applyFill="1" applyBorder="1" applyAlignment="1">
      <alignment horizontal="center"/>
    </xf>
    <xf numFmtId="164" fontId="18" fillId="16" borderId="4" xfId="1" applyNumberFormat="1" applyFont="1" applyFill="1" applyBorder="1" applyAlignment="1">
      <alignment horizontal="center"/>
    </xf>
    <xf numFmtId="0" fontId="34" fillId="16" borderId="22" xfId="0" applyFont="1" applyFill="1" applyBorder="1" applyAlignment="1">
      <alignment horizontal="center"/>
    </xf>
    <xf numFmtId="0" fontId="33" fillId="16" borderId="22" xfId="0" applyFont="1" applyFill="1" applyBorder="1" applyAlignment="1"/>
    <xf numFmtId="164" fontId="33" fillId="16" borderId="4" xfId="1" applyNumberFormat="1" applyFont="1" applyFill="1" applyBorder="1" applyAlignment="1">
      <alignment horizontal="center"/>
    </xf>
    <xf numFmtId="164" fontId="18" fillId="16" borderId="8" xfId="1" applyNumberFormat="1" applyFont="1" applyFill="1" applyBorder="1" applyAlignment="1">
      <alignment horizontal="center"/>
    </xf>
    <xf numFmtId="0" fontId="33" fillId="16" borderId="4" xfId="0" applyFont="1" applyFill="1" applyBorder="1" applyAlignment="1">
      <alignment horizontal="center"/>
    </xf>
    <xf numFmtId="0" fontId="33" fillId="16" borderId="4" xfId="0" applyFont="1" applyFill="1" applyBorder="1" applyAlignment="1"/>
    <xf numFmtId="0" fontId="34" fillId="16" borderId="4" xfId="0" applyFont="1" applyFill="1" applyBorder="1" applyAlignment="1">
      <alignment horizontal="center"/>
    </xf>
    <xf numFmtId="0" fontId="33" fillId="16" borderId="4" xfId="0" applyFont="1" applyFill="1" applyBorder="1" applyAlignment="1">
      <alignment horizontal="left"/>
    </xf>
    <xf numFmtId="164" fontId="18" fillId="16" borderId="4" xfId="1" applyNumberFormat="1" applyFont="1" applyFill="1" applyBorder="1" applyAlignment="1">
      <alignment horizontal="center" wrapText="1"/>
    </xf>
    <xf numFmtId="0" fontId="36" fillId="16" borderId="4" xfId="0" applyFont="1" applyFill="1" applyBorder="1" applyAlignment="1"/>
    <xf numFmtId="0" fontId="36" fillId="16" borderId="4" xfId="0" applyFont="1" applyFill="1" applyBorder="1" applyAlignment="1">
      <alignment horizontal="center"/>
    </xf>
    <xf numFmtId="0" fontId="36" fillId="16" borderId="4" xfId="0" applyFont="1" applyFill="1" applyBorder="1" applyAlignment="1">
      <alignment horizontal="left"/>
    </xf>
    <xf numFmtId="164" fontId="18" fillId="0" borderId="4" xfId="1" applyNumberFormat="1" applyFont="1" applyFill="1" applyBorder="1" applyAlignment="1">
      <alignment horizontal="center"/>
    </xf>
    <xf numFmtId="0" fontId="33" fillId="0" borderId="4" xfId="0" applyFont="1" applyFill="1" applyBorder="1" applyAlignment="1">
      <alignment horizontal="left"/>
    </xf>
    <xf numFmtId="164" fontId="33" fillId="0" borderId="4" xfId="1" applyNumberFormat="1" applyFont="1" applyFill="1" applyBorder="1" applyAlignment="1">
      <alignment horizontal="center"/>
    </xf>
    <xf numFmtId="0" fontId="37" fillId="8" borderId="7" xfId="0" applyFont="1" applyFill="1" applyBorder="1" applyAlignment="1">
      <alignment horizontal="center" vertical="center"/>
    </xf>
    <xf numFmtId="164" fontId="37" fillId="17" borderId="4" xfId="1" applyNumberFormat="1" applyFont="1" applyFill="1" applyBorder="1" applyAlignment="1">
      <alignment horizontal="center"/>
    </xf>
    <xf numFmtId="0" fontId="38" fillId="17" borderId="22" xfId="0" applyFont="1" applyFill="1" applyBorder="1" applyAlignment="1">
      <alignment horizontal="center"/>
    </xf>
    <xf numFmtId="0" fontId="39" fillId="17" borderId="22" xfId="0" applyFont="1" applyFill="1" applyBorder="1" applyAlignment="1"/>
    <xf numFmtId="164" fontId="37" fillId="8" borderId="4" xfId="1" applyNumberFormat="1" applyFont="1" applyFill="1" applyBorder="1" applyAlignment="1">
      <alignment horizontal="center"/>
    </xf>
    <xf numFmtId="0" fontId="38" fillId="8" borderId="4" xfId="0" applyFont="1" applyFill="1" applyBorder="1" applyAlignment="1">
      <alignment horizontal="center"/>
    </xf>
    <xf numFmtId="0" fontId="39" fillId="8" borderId="4" xfId="0" applyFont="1" applyFill="1" applyBorder="1" applyAlignment="1"/>
    <xf numFmtId="0" fontId="39" fillId="8" borderId="4" xfId="0" applyFont="1" applyFill="1" applyBorder="1" applyAlignment="1">
      <alignment horizontal="left"/>
    </xf>
    <xf numFmtId="0" fontId="39" fillId="8" borderId="4" xfId="0" applyFont="1" applyFill="1" applyBorder="1" applyAlignment="1">
      <alignment horizontal="left" vertical="center"/>
    </xf>
    <xf numFmtId="0" fontId="39" fillId="8" borderId="4" xfId="0" applyFont="1" applyFill="1" applyBorder="1"/>
    <xf numFmtId="0" fontId="39" fillId="8" borderId="4" xfId="0" applyFont="1" applyFill="1" applyBorder="1" applyAlignment="1">
      <alignment horizontal="center"/>
    </xf>
    <xf numFmtId="0" fontId="39" fillId="8" borderId="4" xfId="0" applyFont="1" applyFill="1" applyBorder="1" applyAlignment="1">
      <alignment vertical="center"/>
    </xf>
    <xf numFmtId="0" fontId="39" fillId="8" borderId="18" xfId="0" applyFont="1" applyFill="1" applyBorder="1" applyAlignment="1"/>
    <xf numFmtId="0" fontId="38" fillId="8" borderId="21" xfId="0" applyFont="1" applyFill="1" applyBorder="1" applyAlignment="1">
      <alignment horizontal="center"/>
    </xf>
    <xf numFmtId="0" fontId="39" fillId="17" borderId="4" xfId="0" applyFont="1" applyFill="1" applyBorder="1" applyAlignment="1"/>
    <xf numFmtId="0" fontId="39" fillId="17" borderId="4" xfId="0" applyFont="1" applyFill="1" applyBorder="1" applyAlignment="1">
      <alignment horizontal="left"/>
    </xf>
    <xf numFmtId="164" fontId="39" fillId="17" borderId="4" xfId="1" applyNumberFormat="1" applyFont="1" applyFill="1" applyBorder="1" applyAlignment="1">
      <alignment horizontal="center"/>
    </xf>
    <xf numFmtId="164" fontId="39" fillId="8" borderId="4" xfId="1" applyNumberFormat="1" applyFont="1" applyFill="1" applyBorder="1" applyAlignment="1">
      <alignment horizontal="center"/>
    </xf>
    <xf numFmtId="164" fontId="37" fillId="17" borderId="8" xfId="1" applyNumberFormat="1" applyFont="1" applyFill="1" applyBorder="1" applyAlignment="1">
      <alignment horizontal="center"/>
    </xf>
    <xf numFmtId="164" fontId="37" fillId="0" borderId="0" xfId="0" applyNumberFormat="1" applyFont="1" applyFill="1"/>
    <xf numFmtId="0" fontId="37" fillId="0" borderId="0" xfId="0" applyFont="1" applyFill="1"/>
    <xf numFmtId="164" fontId="37" fillId="8" borderId="8" xfId="1" applyNumberFormat="1" applyFont="1" applyFill="1" applyBorder="1" applyAlignment="1">
      <alignment horizontal="center"/>
    </xf>
    <xf numFmtId="164" fontId="37" fillId="13" borderId="4" xfId="1" applyNumberFormat="1" applyFont="1" applyFill="1" applyBorder="1" applyAlignment="1">
      <alignment horizontal="center"/>
    </xf>
    <xf numFmtId="0" fontId="39" fillId="13" borderId="21" xfId="0" applyFont="1" applyFill="1" applyBorder="1" applyAlignment="1">
      <alignment horizontal="center"/>
    </xf>
    <xf numFmtId="0" fontId="39" fillId="13" borderId="4" xfId="0" applyFont="1" applyFill="1" applyBorder="1" applyAlignment="1"/>
    <xf numFmtId="0" fontId="38" fillId="13" borderId="21" xfId="0" applyFont="1" applyFill="1" applyBorder="1" applyAlignment="1">
      <alignment horizontal="center"/>
    </xf>
    <xf numFmtId="0" fontId="39" fillId="13" borderId="4" xfId="0" applyFont="1" applyFill="1" applyBorder="1" applyAlignment="1">
      <alignment vertical="center"/>
    </xf>
    <xf numFmtId="0" fontId="40" fillId="13" borderId="21" xfId="0" applyFont="1" applyFill="1" applyBorder="1" applyAlignment="1">
      <alignment horizontal="center"/>
    </xf>
    <xf numFmtId="0" fontId="39" fillId="13" borderId="4" xfId="0" applyFont="1" applyFill="1" applyBorder="1" applyAlignment="1">
      <alignment horizontal="left"/>
    </xf>
    <xf numFmtId="0" fontId="39" fillId="13" borderId="4" xfId="0" applyFont="1" applyFill="1" applyBorder="1"/>
    <xf numFmtId="0" fontId="39" fillId="13" borderId="0" xfId="0" applyFont="1" applyFill="1"/>
    <xf numFmtId="0" fontId="40" fillId="17" borderId="21" xfId="0" applyFont="1" applyFill="1" applyBorder="1" applyAlignment="1">
      <alignment horizontal="center"/>
    </xf>
    <xf numFmtId="0" fontId="39" fillId="17" borderId="4" xfId="0" applyFont="1" applyFill="1" applyBorder="1" applyAlignment="1">
      <alignment vertical="center"/>
    </xf>
    <xf numFmtId="164" fontId="37" fillId="7" borderId="4" xfId="1" applyNumberFormat="1" applyFont="1" applyFill="1" applyBorder="1" applyAlignment="1">
      <alignment horizontal="center"/>
    </xf>
    <xf numFmtId="0" fontId="39" fillId="7" borderId="4" xfId="0" applyFont="1" applyFill="1" applyBorder="1" applyAlignment="1">
      <alignment horizontal="center"/>
    </xf>
    <xf numFmtId="0" fontId="39" fillId="7" borderId="4" xfId="0" applyFont="1" applyFill="1" applyBorder="1" applyAlignment="1">
      <alignment horizontal="left"/>
    </xf>
    <xf numFmtId="0" fontId="39" fillId="7" borderId="4" xfId="0" applyFont="1" applyFill="1" applyBorder="1" applyAlignment="1"/>
    <xf numFmtId="0" fontId="38" fillId="7" borderId="4" xfId="0" applyFont="1" applyFill="1" applyBorder="1" applyAlignment="1">
      <alignment horizontal="center"/>
    </xf>
    <xf numFmtId="164" fontId="37" fillId="10" borderId="4" xfId="1" applyNumberFormat="1" applyFont="1" applyFill="1" applyBorder="1" applyAlignment="1">
      <alignment horizontal="center"/>
    </xf>
    <xf numFmtId="0" fontId="38" fillId="10" borderId="22" xfId="0" applyFont="1" applyFill="1" applyBorder="1" applyAlignment="1">
      <alignment horizontal="center"/>
    </xf>
    <xf numFmtId="0" fontId="39" fillId="10" borderId="22" xfId="0" applyFont="1" applyFill="1" applyBorder="1" applyAlignment="1"/>
    <xf numFmtId="0" fontId="39" fillId="10" borderId="4" xfId="0" applyFont="1" applyFill="1" applyBorder="1" applyAlignment="1">
      <alignment horizontal="center"/>
    </xf>
    <xf numFmtId="0" fontId="39" fillId="10" borderId="4" xfId="0" applyFont="1" applyFill="1" applyBorder="1" applyAlignment="1"/>
    <xf numFmtId="0" fontId="38" fillId="10" borderId="4" xfId="0" applyFont="1" applyFill="1" applyBorder="1" applyAlignment="1">
      <alignment horizontal="center"/>
    </xf>
    <xf numFmtId="0" fontId="39" fillId="10" borderId="4" xfId="0" applyFont="1" applyFill="1" applyBorder="1" applyAlignment="1">
      <alignment horizontal="left"/>
    </xf>
    <xf numFmtId="0" fontId="38" fillId="17" borderId="4" xfId="0" applyFont="1" applyFill="1" applyBorder="1" applyAlignment="1">
      <alignment horizontal="center"/>
    </xf>
    <xf numFmtId="164" fontId="37" fillId="14" borderId="4" xfId="1" applyNumberFormat="1" applyFont="1" applyFill="1" applyBorder="1" applyAlignment="1">
      <alignment horizontal="center"/>
    </xf>
    <xf numFmtId="0" fontId="38" fillId="14" borderId="16" xfId="0" applyFont="1" applyFill="1" applyBorder="1" applyAlignment="1">
      <alignment horizontal="center"/>
    </xf>
    <xf numFmtId="0" fontId="39" fillId="14" borderId="4" xfId="0" applyFont="1" applyFill="1" applyBorder="1" applyAlignment="1"/>
    <xf numFmtId="0" fontId="38" fillId="14" borderId="4" xfId="0" applyFont="1" applyFill="1" applyBorder="1" applyAlignment="1">
      <alignment horizontal="center"/>
    </xf>
    <xf numFmtId="0" fontId="39" fillId="14" borderId="4" xfId="0" applyFont="1" applyFill="1" applyBorder="1" applyAlignment="1">
      <alignment horizontal="center"/>
    </xf>
    <xf numFmtId="0" fontId="39" fillId="14" borderId="16" xfId="0" applyFont="1" applyFill="1" applyBorder="1" applyAlignment="1"/>
    <xf numFmtId="164" fontId="39" fillId="13" borderId="4" xfId="1" applyNumberFormat="1" applyFont="1" applyFill="1" applyBorder="1" applyAlignment="1">
      <alignment horizontal="center"/>
    </xf>
    <xf numFmtId="164" fontId="39" fillId="7" borderId="4" xfId="1" applyNumberFormat="1" applyFont="1" applyFill="1" applyBorder="1" applyAlignment="1">
      <alignment horizontal="center"/>
    </xf>
    <xf numFmtId="164" fontId="39" fillId="10" borderId="4" xfId="1" applyNumberFormat="1" applyFont="1" applyFill="1" applyBorder="1" applyAlignment="1">
      <alignment horizontal="center"/>
    </xf>
    <xf numFmtId="164" fontId="39" fillId="14" borderId="4" xfId="1" applyNumberFormat="1" applyFont="1" applyFill="1" applyBorder="1" applyAlignment="1">
      <alignment horizontal="center"/>
    </xf>
    <xf numFmtId="164" fontId="37" fillId="13" borderId="8" xfId="1" applyNumberFormat="1" applyFont="1" applyFill="1" applyBorder="1" applyAlignment="1">
      <alignment horizontal="center"/>
    </xf>
    <xf numFmtId="164" fontId="37" fillId="17" borderId="0" xfId="0" applyNumberFormat="1" applyFont="1" applyFill="1"/>
    <xf numFmtId="0" fontId="37" fillId="17" borderId="0" xfId="0" applyFont="1" applyFill="1"/>
    <xf numFmtId="164" fontId="37" fillId="0" borderId="8" xfId="1" applyNumberFormat="1" applyFont="1" applyFill="1" applyBorder="1" applyAlignment="1">
      <alignment horizontal="center"/>
    </xf>
    <xf numFmtId="164" fontId="37" fillId="10" borderId="8" xfId="1" applyNumberFormat="1" applyFont="1" applyFill="1" applyBorder="1" applyAlignment="1">
      <alignment horizontal="center"/>
    </xf>
    <xf numFmtId="164" fontId="37" fillId="14" borderId="8" xfId="1" applyNumberFormat="1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 vertical="center"/>
    </xf>
    <xf numFmtId="164" fontId="9" fillId="2" borderId="4" xfId="1" applyNumberFormat="1" applyFont="1" applyFill="1" applyBorder="1" applyAlignment="1">
      <alignment horizontal="center"/>
    </xf>
    <xf numFmtId="0" fontId="41" fillId="2" borderId="23" xfId="0" applyFont="1" applyFill="1" applyBorder="1" applyAlignment="1">
      <alignment horizontal="center"/>
    </xf>
    <xf numFmtId="0" fontId="42" fillId="2" borderId="22" xfId="0" applyFont="1" applyFill="1" applyBorder="1" applyAlignment="1">
      <alignment horizontal="left"/>
    </xf>
    <xf numFmtId="0" fontId="42" fillId="2" borderId="22" xfId="0" applyFont="1" applyFill="1" applyBorder="1" applyAlignment="1"/>
    <xf numFmtId="0" fontId="41" fillId="2" borderId="21" xfId="0" applyFont="1" applyFill="1" applyBorder="1" applyAlignment="1">
      <alignment horizontal="center"/>
    </xf>
    <xf numFmtId="0" fontId="42" fillId="2" borderId="4" xfId="0" applyFont="1" applyFill="1" applyBorder="1" applyAlignment="1"/>
    <xf numFmtId="0" fontId="42" fillId="2" borderId="21" xfId="0" applyFont="1" applyFill="1" applyBorder="1" applyAlignment="1">
      <alignment horizontal="center"/>
    </xf>
    <xf numFmtId="164" fontId="9" fillId="17" borderId="4" xfId="1" applyNumberFormat="1" applyFont="1" applyFill="1" applyBorder="1" applyAlignment="1">
      <alignment horizontal="center"/>
    </xf>
    <xf numFmtId="0" fontId="41" fillId="17" borderId="21" xfId="0" applyFont="1" applyFill="1" applyBorder="1" applyAlignment="1">
      <alignment horizontal="center"/>
    </xf>
    <xf numFmtId="0" fontId="42" fillId="17" borderId="4" xfId="0" applyFont="1" applyFill="1" applyBorder="1" applyAlignment="1">
      <alignment horizontal="left"/>
    </xf>
    <xf numFmtId="0" fontId="42" fillId="17" borderId="4" xfId="0" applyFont="1" applyFill="1" applyBorder="1" applyAlignment="1"/>
    <xf numFmtId="0" fontId="42" fillId="2" borderId="4" xfId="0" applyFont="1" applyFill="1" applyBorder="1" applyAlignment="1">
      <alignment horizontal="left"/>
    </xf>
    <xf numFmtId="16" fontId="42" fillId="2" borderId="4" xfId="0" applyNumberFormat="1" applyFont="1" applyFill="1" applyBorder="1" applyAlignment="1">
      <alignment horizontal="left"/>
    </xf>
    <xf numFmtId="0" fontId="42" fillId="2" borderId="4" xfId="0" applyFont="1" applyFill="1" applyBorder="1"/>
    <xf numFmtId="0" fontId="41" fillId="2" borderId="22" xfId="0" applyFont="1" applyFill="1" applyBorder="1" applyAlignment="1">
      <alignment horizontal="center"/>
    </xf>
    <xf numFmtId="164" fontId="42" fillId="2" borderId="4" xfId="1" applyNumberFormat="1" applyFont="1" applyFill="1" applyBorder="1" applyAlignment="1">
      <alignment horizontal="center"/>
    </xf>
    <xf numFmtId="0" fontId="41" fillId="2" borderId="4" xfId="0" applyFont="1" applyFill="1" applyBorder="1" applyAlignment="1">
      <alignment horizontal="center"/>
    </xf>
    <xf numFmtId="0" fontId="41" fillId="17" borderId="4" xfId="0" applyFont="1" applyFill="1" applyBorder="1" applyAlignment="1">
      <alignment horizontal="center"/>
    </xf>
    <xf numFmtId="164" fontId="42" fillId="17" borderId="4" xfId="1" applyNumberFormat="1" applyFont="1" applyFill="1" applyBorder="1" applyAlignment="1">
      <alignment horizontal="center"/>
    </xf>
    <xf numFmtId="0" fontId="41" fillId="2" borderId="15" xfId="0" applyFont="1" applyFill="1" applyBorder="1" applyAlignment="1">
      <alignment horizontal="center"/>
    </xf>
    <xf numFmtId="164" fontId="9" fillId="2" borderId="8" xfId="1" applyNumberFormat="1" applyFont="1" applyFill="1" applyBorder="1" applyAlignment="1">
      <alignment horizontal="center"/>
    </xf>
    <xf numFmtId="164" fontId="9" fillId="0" borderId="0" xfId="0" applyNumberFormat="1" applyFont="1" applyFill="1"/>
    <xf numFmtId="0" fontId="9" fillId="0" borderId="0" xfId="0" applyFont="1" applyFill="1"/>
    <xf numFmtId="164" fontId="9" fillId="17" borderId="8" xfId="1" applyNumberFormat="1" applyFont="1" applyFill="1" applyBorder="1" applyAlignment="1">
      <alignment horizontal="center"/>
    </xf>
    <xf numFmtId="164" fontId="9" fillId="12" borderId="4" xfId="1" applyNumberFormat="1" applyFont="1" applyFill="1" applyBorder="1" applyAlignment="1">
      <alignment horizontal="center"/>
    </xf>
    <xf numFmtId="0" fontId="41" fillId="12" borderId="21" xfId="0" applyFont="1" applyFill="1" applyBorder="1" applyAlignment="1">
      <alignment horizontal="center"/>
    </xf>
    <xf numFmtId="0" fontId="42" fillId="12" borderId="4" xfId="0" applyFont="1" applyFill="1" applyBorder="1" applyAlignment="1">
      <alignment vertical="center"/>
    </xf>
    <xf numFmtId="0" fontId="42" fillId="17" borderId="4" xfId="0" applyFont="1" applyFill="1" applyBorder="1"/>
    <xf numFmtId="0" fontId="42" fillId="12" borderId="4" xfId="0" applyFont="1" applyFill="1" applyBorder="1" applyAlignment="1"/>
    <xf numFmtId="0" fontId="42" fillId="12" borderId="4" xfId="0" applyFont="1" applyFill="1" applyBorder="1"/>
    <xf numFmtId="0" fontId="42" fillId="12" borderId="4" xfId="0" applyFont="1" applyFill="1" applyBorder="1" applyAlignment="1">
      <alignment horizontal="left"/>
    </xf>
    <xf numFmtId="0" fontId="41" fillId="12" borderId="4" xfId="0" applyFont="1" applyFill="1" applyBorder="1" applyAlignment="1">
      <alignment horizontal="center"/>
    </xf>
    <xf numFmtId="164" fontId="42" fillId="12" borderId="4" xfId="1" applyNumberFormat="1" applyFont="1" applyFill="1" applyBorder="1" applyAlignment="1">
      <alignment horizontal="center"/>
    </xf>
    <xf numFmtId="164" fontId="9" fillId="12" borderId="8" xfId="1" applyNumberFormat="1" applyFont="1" applyFill="1" applyBorder="1" applyAlignment="1">
      <alignment horizontal="center"/>
    </xf>
    <xf numFmtId="0" fontId="42" fillId="12" borderId="4" xfId="0" applyFont="1" applyFill="1" applyBorder="1" applyAlignment="1">
      <alignment horizontal="left" vertical="center"/>
    </xf>
    <xf numFmtId="164" fontId="9" fillId="10" borderId="4" xfId="1" applyNumberFormat="1" applyFont="1" applyFill="1" applyBorder="1" applyAlignment="1">
      <alignment horizontal="center"/>
    </xf>
    <xf numFmtId="0" fontId="41" fillId="10" borderId="21" xfId="0" applyFont="1" applyFill="1" applyBorder="1" applyAlignment="1">
      <alignment horizontal="center"/>
    </xf>
    <xf numFmtId="0" fontId="42" fillId="10" borderId="4" xfId="0" applyFont="1" applyFill="1" applyBorder="1"/>
    <xf numFmtId="0" fontId="42" fillId="10" borderId="4" xfId="0" applyFont="1" applyFill="1" applyBorder="1" applyAlignment="1">
      <alignment horizontal="left"/>
    </xf>
    <xf numFmtId="0" fontId="42" fillId="10" borderId="4" xfId="0" applyFont="1" applyFill="1" applyBorder="1" applyAlignment="1"/>
    <xf numFmtId="0" fontId="42" fillId="10" borderId="21" xfId="0" applyFont="1" applyFill="1" applyBorder="1" applyAlignment="1">
      <alignment horizontal="center"/>
    </xf>
    <xf numFmtId="0" fontId="42" fillId="10" borderId="4" xfId="0" applyFont="1" applyFill="1" applyBorder="1" applyAlignment="1">
      <alignment vertical="center"/>
    </xf>
    <xf numFmtId="0" fontId="42" fillId="17" borderId="4" xfId="0" applyFont="1" applyFill="1" applyBorder="1" applyAlignment="1">
      <alignment vertical="top" wrapText="1"/>
    </xf>
    <xf numFmtId="0" fontId="42" fillId="10" borderId="25" xfId="0" applyFont="1" applyFill="1" applyBorder="1" applyAlignment="1">
      <alignment horizontal="center"/>
    </xf>
    <xf numFmtId="0" fontId="42" fillId="10" borderId="16" xfId="0" applyFont="1" applyFill="1" applyBorder="1" applyAlignment="1">
      <alignment horizontal="left"/>
    </xf>
    <xf numFmtId="0" fontId="41" fillId="10" borderId="4" xfId="0" applyFont="1" applyFill="1" applyBorder="1" applyAlignment="1">
      <alignment horizontal="center" vertical="center"/>
    </xf>
    <xf numFmtId="164" fontId="42" fillId="10" borderId="4" xfId="1" applyNumberFormat="1" applyFont="1" applyFill="1" applyBorder="1" applyAlignment="1">
      <alignment horizontal="center"/>
    </xf>
    <xf numFmtId="0" fontId="41" fillId="17" borderId="4" xfId="0" applyFont="1" applyFill="1" applyBorder="1" applyAlignment="1">
      <alignment horizontal="center" vertical="center"/>
    </xf>
    <xf numFmtId="164" fontId="9" fillId="10" borderId="16" xfId="1" applyNumberFormat="1" applyFont="1" applyFill="1" applyBorder="1" applyAlignment="1">
      <alignment horizontal="center"/>
    </xf>
    <xf numFmtId="164" fontId="9" fillId="10" borderId="8" xfId="1" applyNumberFormat="1" applyFont="1" applyFill="1" applyBorder="1" applyAlignment="1">
      <alignment horizontal="center"/>
    </xf>
    <xf numFmtId="164" fontId="37" fillId="3" borderId="4" xfId="1" applyNumberFormat="1" applyFont="1" applyFill="1" applyBorder="1" applyAlignment="1">
      <alignment horizontal="center"/>
    </xf>
    <xf numFmtId="0" fontId="38" fillId="3" borderId="4" xfId="0" applyFont="1" applyFill="1" applyBorder="1" applyAlignment="1">
      <alignment horizontal="center"/>
    </xf>
    <xf numFmtId="0" fontId="39" fillId="3" borderId="4" xfId="0" applyFont="1" applyFill="1" applyBorder="1" applyAlignment="1">
      <alignment horizontal="left"/>
    </xf>
    <xf numFmtId="0" fontId="39" fillId="3" borderId="4" xfId="0" applyFont="1" applyFill="1" applyBorder="1" applyAlignment="1"/>
    <xf numFmtId="0" fontId="39" fillId="3" borderId="4" xfId="0" applyFont="1" applyFill="1" applyBorder="1" applyAlignment="1">
      <alignment horizontal="center"/>
    </xf>
    <xf numFmtId="164" fontId="37" fillId="11" borderId="4" xfId="1" applyNumberFormat="1" applyFont="1" applyFill="1" applyBorder="1" applyAlignment="1">
      <alignment horizontal="center"/>
    </xf>
    <xf numFmtId="0" fontId="38" fillId="11" borderId="4" xfId="0" applyFont="1" applyFill="1" applyBorder="1" applyAlignment="1">
      <alignment horizontal="center"/>
    </xf>
    <xf numFmtId="0" fontId="39" fillId="11" borderId="4" xfId="0" applyFont="1" applyFill="1" applyBorder="1" applyAlignment="1"/>
    <xf numFmtId="0" fontId="37" fillId="3" borderId="4" xfId="0" applyFont="1" applyFill="1" applyBorder="1" applyAlignment="1"/>
    <xf numFmtId="164" fontId="37" fillId="15" borderId="4" xfId="1" applyNumberFormat="1" applyFont="1" applyFill="1" applyBorder="1" applyAlignment="1">
      <alignment horizontal="center"/>
    </xf>
    <xf numFmtId="0" fontId="38" fillId="15" borderId="22" xfId="0" applyFont="1" applyFill="1" applyBorder="1" applyAlignment="1">
      <alignment horizontal="center"/>
    </xf>
    <xf numFmtId="0" fontId="39" fillId="15" borderId="22" xfId="0" applyFont="1" applyFill="1" applyBorder="1" applyAlignment="1">
      <alignment horizontal="left"/>
    </xf>
    <xf numFmtId="0" fontId="39" fillId="15" borderId="22" xfId="0" applyFont="1" applyFill="1" applyBorder="1" applyAlignment="1"/>
    <xf numFmtId="0" fontId="38" fillId="15" borderId="4" xfId="0" applyFont="1" applyFill="1" applyBorder="1" applyAlignment="1">
      <alignment horizontal="center"/>
    </xf>
    <xf numFmtId="0" fontId="39" fillId="15" borderId="4" xfId="0" applyFont="1" applyFill="1" applyBorder="1" applyAlignment="1">
      <alignment horizontal="left"/>
    </xf>
    <xf numFmtId="0" fontId="39" fillId="15" borderId="4" xfId="0" applyFont="1" applyFill="1" applyBorder="1" applyAlignment="1"/>
    <xf numFmtId="0" fontId="39" fillId="15" borderId="4" xfId="0" applyFont="1" applyFill="1" applyBorder="1" applyAlignment="1">
      <alignment horizontal="center"/>
    </xf>
    <xf numFmtId="0" fontId="39" fillId="15" borderId="4" xfId="0" applyFont="1" applyFill="1" applyBorder="1"/>
    <xf numFmtId="164" fontId="37" fillId="0" borderId="4" xfId="1" applyNumberFormat="1" applyFont="1" applyFill="1" applyBorder="1" applyAlignment="1">
      <alignment horizontal="center"/>
    </xf>
    <xf numFmtId="0" fontId="39" fillId="0" borderId="4" xfId="0" applyFont="1" applyFill="1" applyBorder="1" applyAlignment="1">
      <alignment horizontal="left"/>
    </xf>
    <xf numFmtId="0" fontId="39" fillId="0" borderId="4" xfId="0" applyFont="1" applyFill="1" applyBorder="1" applyAlignment="1"/>
    <xf numFmtId="0" fontId="39" fillId="0" borderId="4" xfId="0" applyFont="1" applyFill="1" applyBorder="1"/>
    <xf numFmtId="0" fontId="38" fillId="3" borderId="9" xfId="0" applyFont="1" applyFill="1" applyBorder="1" applyAlignment="1">
      <alignment horizontal="center"/>
    </xf>
    <xf numFmtId="164" fontId="39" fillId="3" borderId="4" xfId="1" applyNumberFormat="1" applyFont="1" applyFill="1" applyBorder="1" applyAlignment="1">
      <alignment horizontal="center"/>
    </xf>
    <xf numFmtId="164" fontId="39" fillId="3" borderId="4" xfId="1" applyNumberFormat="1" applyFont="1" applyFill="1" applyBorder="1" applyAlignment="1">
      <alignment horizontal="center" vertical="center"/>
    </xf>
    <xf numFmtId="164" fontId="39" fillId="17" borderId="4" xfId="1" applyNumberFormat="1" applyFont="1" applyFill="1" applyBorder="1" applyAlignment="1">
      <alignment horizontal="center" vertical="center"/>
    </xf>
    <xf numFmtId="164" fontId="37" fillId="3" borderId="4" xfId="1" applyNumberFormat="1" applyFont="1" applyFill="1" applyBorder="1" applyAlignment="1">
      <alignment horizontal="center" vertical="center"/>
    </xf>
    <xf numFmtId="164" fontId="37" fillId="17" borderId="4" xfId="1" applyNumberFormat="1" applyFont="1" applyFill="1" applyBorder="1" applyAlignment="1">
      <alignment horizontal="center" vertical="center"/>
    </xf>
    <xf numFmtId="164" fontId="39" fillId="11" borderId="4" xfId="1" applyNumberFormat="1" applyFont="1" applyFill="1" applyBorder="1" applyAlignment="1">
      <alignment horizontal="center" vertical="center"/>
    </xf>
    <xf numFmtId="164" fontId="39" fillId="11" borderId="4" xfId="1" applyNumberFormat="1" applyFont="1" applyFill="1" applyBorder="1" applyAlignment="1">
      <alignment horizontal="center"/>
    </xf>
    <xf numFmtId="164" fontId="39" fillId="15" borderId="4" xfId="1" applyNumberFormat="1" applyFont="1" applyFill="1" applyBorder="1" applyAlignment="1">
      <alignment horizontal="center" vertical="center"/>
    </xf>
    <xf numFmtId="164" fontId="39" fillId="15" borderId="4" xfId="1" applyNumberFormat="1" applyFont="1" applyFill="1" applyBorder="1" applyAlignment="1">
      <alignment horizontal="center"/>
    </xf>
    <xf numFmtId="164" fontId="37" fillId="15" borderId="4" xfId="1" applyNumberFormat="1" applyFont="1" applyFill="1" applyBorder="1" applyAlignment="1">
      <alignment horizontal="center" vertical="center"/>
    </xf>
    <xf numFmtId="164" fontId="39" fillId="0" borderId="4" xfId="1" applyNumberFormat="1" applyFont="1" applyFill="1" applyBorder="1" applyAlignment="1">
      <alignment horizontal="center" vertical="center"/>
    </xf>
    <xf numFmtId="164" fontId="39" fillId="0" borderId="4" xfId="1" applyNumberFormat="1" applyFont="1" applyFill="1" applyBorder="1" applyAlignment="1">
      <alignment horizontal="center"/>
    </xf>
    <xf numFmtId="164" fontId="37" fillId="3" borderId="8" xfId="1" applyNumberFormat="1" applyFont="1" applyFill="1" applyBorder="1" applyAlignment="1">
      <alignment horizontal="center"/>
    </xf>
    <xf numFmtId="164" fontId="37" fillId="11" borderId="8" xfId="1" applyNumberFormat="1" applyFont="1" applyFill="1" applyBorder="1" applyAlignment="1">
      <alignment horizontal="center"/>
    </xf>
    <xf numFmtId="164" fontId="37" fillId="15" borderId="8" xfId="1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164" fontId="12" fillId="3" borderId="1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CCCC"/>
      <color rgb="FF00926C"/>
      <color rgb="FF00BC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1104900</xdr:colOff>
      <xdr:row>0</xdr:row>
      <xdr:rowOff>0</xdr:rowOff>
    </xdr:from>
    <xdr:to>
      <xdr:col>3</xdr:col>
      <xdr:colOff>2343150</xdr:colOff>
      <xdr:row>0</xdr:row>
      <xdr:rowOff>762000</xdr:rowOff>
    </xdr:to>
    <xdr:pic>
      <xdr:nvPicPr>
        <xdr:cNvPr id="2" name="Picture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3390900" y="0"/>
          <a:ext cx="1238250" cy="7620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N372"/>
  <sheetViews>
    <sheetView tabSelected="1" zoomScale="60" zoomScaleNormal="60" workbookViewId="0">
      <pane ySplit="4" topLeftCell="A5" activePane="bottomLeft" state="frozen"/>
      <selection pane="bottomLeft" activeCell="AB3" sqref="AB1:AD1048576"/>
    </sheetView>
  </sheetViews>
  <sheetFormatPr defaultRowHeight="33.75" x14ac:dyDescent="0.5"/>
  <cols>
    <col min="1" max="1" width="15.5703125" style="2" bestFit="1" customWidth="1"/>
    <col min="2" max="2" width="14.42578125" style="24" customWidth="1"/>
    <col min="3" max="3" width="10.42578125" style="4" customWidth="1"/>
    <col min="4" max="4" width="47.42578125" style="129" customWidth="1"/>
    <col min="5" max="5" width="65.7109375" customWidth="1"/>
    <col min="6" max="6" width="22.140625" hidden="1" customWidth="1"/>
    <col min="7" max="7" width="23.28515625" hidden="1" customWidth="1"/>
    <col min="8" max="8" width="36.28515625" bestFit="1" customWidth="1"/>
    <col min="9" max="9" width="18.28515625" style="6" customWidth="1"/>
    <col min="10" max="10" width="27.42578125" customWidth="1"/>
    <col min="11" max="11" width="20.7109375" style="124" customWidth="1"/>
    <col min="12" max="12" width="19.42578125" customWidth="1"/>
    <col min="13" max="13" width="33.5703125" style="5" bestFit="1" customWidth="1"/>
    <col min="14" max="14" width="26.140625" style="5" bestFit="1" customWidth="1"/>
    <col min="15" max="15" width="25.140625" style="5" bestFit="1" customWidth="1"/>
    <col min="16" max="16" width="40.42578125" style="6" bestFit="1" customWidth="1"/>
    <col min="17" max="17" width="37.28515625" style="20" bestFit="1" customWidth="1"/>
    <col min="18" max="18" width="26.140625" bestFit="1" customWidth="1"/>
    <col min="19" max="19" width="25.5703125" bestFit="1" customWidth="1"/>
    <col min="20" max="20" width="27.5703125" customWidth="1"/>
    <col min="21" max="21" width="15.42578125" style="22" customWidth="1"/>
    <col min="22" max="22" width="26.140625" bestFit="1" customWidth="1"/>
    <col min="23" max="23" width="25.140625" bestFit="1" customWidth="1"/>
    <col min="24" max="24" width="34.85546875" customWidth="1"/>
    <col min="25" max="25" width="13.7109375" customWidth="1"/>
    <col min="26" max="26" width="26.140625" bestFit="1" customWidth="1"/>
    <col min="27" max="27" width="25.140625" style="18" bestFit="1" customWidth="1"/>
    <col min="28" max="28" width="34.7109375" customWidth="1"/>
    <col min="29" max="29" width="24.140625" bestFit="1" customWidth="1"/>
    <col min="30" max="30" width="41.140625" bestFit="1" customWidth="1"/>
    <col min="31" max="31" width="22.7109375" customWidth="1"/>
    <col min="32" max="32" width="24.7109375" customWidth="1"/>
    <col min="33" max="33" width="29.5703125" style="7" customWidth="1"/>
    <col min="34" max="34" width="17" style="7" bestFit="1" customWidth="1"/>
    <col min="35" max="35" width="15.140625" style="7" bestFit="1" customWidth="1"/>
    <col min="36" max="794" width="9.140625" style="7"/>
  </cols>
  <sheetData>
    <row r="1" spans="1:794" ht="62.25" customHeight="1" thickBot="1" x14ac:dyDescent="0.3">
      <c r="A1" s="430" t="s">
        <v>13</v>
      </c>
      <c r="B1" s="430"/>
      <c r="C1" s="430"/>
      <c r="D1" s="431"/>
      <c r="E1" s="430"/>
      <c r="F1" s="430"/>
      <c r="G1" s="430"/>
      <c r="H1" s="430"/>
      <c r="I1" s="430"/>
      <c r="J1" s="430"/>
      <c r="K1" s="432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</row>
    <row r="2" spans="1:794" s="107" customFormat="1" ht="40.5" customHeight="1" thickBot="1" x14ac:dyDescent="0.75">
      <c r="A2" s="433" t="s">
        <v>534</v>
      </c>
      <c r="B2" s="434"/>
      <c r="C2" s="434"/>
      <c r="D2" s="435"/>
      <c r="E2" s="434"/>
      <c r="F2" s="434"/>
      <c r="G2" s="434"/>
      <c r="H2" s="434"/>
      <c r="I2" s="434"/>
      <c r="J2" s="434"/>
      <c r="K2" s="436"/>
      <c r="L2" s="434"/>
      <c r="M2" s="434"/>
      <c r="N2" s="434"/>
      <c r="O2" s="434"/>
      <c r="P2" s="434"/>
      <c r="Q2" s="434"/>
      <c r="R2" s="434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1"/>
      <c r="AG2" s="104"/>
      <c r="AH2" s="105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  <c r="IX2" s="106"/>
      <c r="IY2" s="106"/>
      <c r="IZ2" s="106"/>
      <c r="JA2" s="106"/>
      <c r="JB2" s="106"/>
      <c r="JC2" s="106"/>
      <c r="JD2" s="106"/>
      <c r="JE2" s="106"/>
      <c r="JF2" s="106"/>
      <c r="JG2" s="106"/>
      <c r="JH2" s="106"/>
      <c r="JI2" s="106"/>
      <c r="JJ2" s="106"/>
      <c r="JK2" s="106"/>
      <c r="JL2" s="106"/>
      <c r="JM2" s="106"/>
      <c r="JN2" s="106"/>
      <c r="JO2" s="106"/>
      <c r="JP2" s="106"/>
      <c r="JQ2" s="106"/>
      <c r="JR2" s="106"/>
      <c r="JS2" s="106"/>
      <c r="JT2" s="106"/>
      <c r="JU2" s="106"/>
      <c r="JV2" s="106"/>
      <c r="JW2" s="106"/>
      <c r="JX2" s="106"/>
      <c r="JY2" s="106"/>
      <c r="JZ2" s="106"/>
      <c r="KA2" s="106"/>
      <c r="KB2" s="106"/>
      <c r="KC2" s="106"/>
      <c r="KD2" s="106"/>
      <c r="KE2" s="106"/>
      <c r="KF2" s="106"/>
      <c r="KG2" s="106"/>
      <c r="KH2" s="106"/>
      <c r="KI2" s="106"/>
      <c r="KJ2" s="106"/>
      <c r="KK2" s="106"/>
      <c r="KL2" s="106"/>
      <c r="KM2" s="106"/>
      <c r="KN2" s="106"/>
      <c r="KO2" s="106"/>
      <c r="KP2" s="106"/>
      <c r="KQ2" s="106"/>
      <c r="KR2" s="106"/>
      <c r="KS2" s="106"/>
      <c r="KT2" s="106"/>
      <c r="KU2" s="106"/>
      <c r="KV2" s="106"/>
      <c r="KW2" s="106"/>
      <c r="KX2" s="106"/>
      <c r="KY2" s="106"/>
      <c r="KZ2" s="106"/>
      <c r="LA2" s="106"/>
      <c r="LB2" s="106"/>
      <c r="LC2" s="106"/>
      <c r="LD2" s="106"/>
      <c r="LE2" s="106"/>
      <c r="LF2" s="106"/>
      <c r="LG2" s="106"/>
      <c r="LH2" s="106"/>
      <c r="LI2" s="106"/>
      <c r="LJ2" s="106"/>
      <c r="LK2" s="106"/>
      <c r="LL2" s="106"/>
      <c r="LM2" s="106"/>
      <c r="LN2" s="106"/>
      <c r="LO2" s="106"/>
      <c r="LP2" s="106"/>
      <c r="LQ2" s="106"/>
      <c r="LR2" s="106"/>
      <c r="LS2" s="106"/>
      <c r="LT2" s="106"/>
      <c r="LU2" s="106"/>
      <c r="LV2" s="106"/>
      <c r="LW2" s="106"/>
      <c r="LX2" s="106"/>
      <c r="LY2" s="106"/>
      <c r="LZ2" s="106"/>
      <c r="MA2" s="106"/>
      <c r="MB2" s="106"/>
      <c r="MC2" s="106"/>
      <c r="MD2" s="106"/>
      <c r="ME2" s="106"/>
      <c r="MF2" s="106"/>
      <c r="MG2" s="106"/>
      <c r="MH2" s="106"/>
      <c r="MI2" s="106"/>
      <c r="MJ2" s="106"/>
      <c r="MK2" s="106"/>
      <c r="ML2" s="106"/>
      <c r="MM2" s="106"/>
      <c r="MN2" s="106"/>
      <c r="MO2" s="106"/>
      <c r="MP2" s="106"/>
      <c r="MQ2" s="106"/>
      <c r="MR2" s="106"/>
      <c r="MS2" s="106"/>
      <c r="MT2" s="106"/>
      <c r="MU2" s="106"/>
      <c r="MV2" s="106"/>
      <c r="MW2" s="106"/>
      <c r="MX2" s="106"/>
      <c r="MY2" s="106"/>
      <c r="MZ2" s="106"/>
      <c r="NA2" s="106"/>
      <c r="NB2" s="106"/>
      <c r="NC2" s="106"/>
      <c r="ND2" s="106"/>
      <c r="NE2" s="106"/>
      <c r="NF2" s="106"/>
      <c r="NG2" s="106"/>
      <c r="NH2" s="106"/>
      <c r="NI2" s="106"/>
      <c r="NJ2" s="106"/>
      <c r="NK2" s="106"/>
      <c r="NL2" s="106"/>
      <c r="NM2" s="106"/>
      <c r="NN2" s="106"/>
      <c r="NO2" s="106"/>
      <c r="NP2" s="106"/>
      <c r="NQ2" s="106"/>
      <c r="NR2" s="106"/>
      <c r="NS2" s="106"/>
      <c r="NT2" s="106"/>
      <c r="NU2" s="106"/>
      <c r="NV2" s="106"/>
      <c r="NW2" s="106"/>
      <c r="NX2" s="106"/>
      <c r="NY2" s="106"/>
      <c r="NZ2" s="106"/>
      <c r="OA2" s="106"/>
      <c r="OB2" s="106"/>
      <c r="OC2" s="106"/>
      <c r="OD2" s="106"/>
      <c r="OE2" s="106"/>
      <c r="OF2" s="106"/>
      <c r="OG2" s="106"/>
      <c r="OH2" s="106"/>
      <c r="OI2" s="106"/>
      <c r="OJ2" s="106"/>
      <c r="OK2" s="106"/>
      <c r="OL2" s="106"/>
      <c r="OM2" s="106"/>
      <c r="ON2" s="106"/>
      <c r="OO2" s="106"/>
      <c r="OP2" s="106"/>
      <c r="OQ2" s="106"/>
      <c r="OR2" s="106"/>
      <c r="OS2" s="106"/>
      <c r="OT2" s="106"/>
      <c r="OU2" s="106"/>
      <c r="OV2" s="106"/>
      <c r="OW2" s="106"/>
      <c r="OX2" s="106"/>
      <c r="OY2" s="106"/>
      <c r="OZ2" s="106"/>
      <c r="PA2" s="106"/>
      <c r="PB2" s="106"/>
      <c r="PC2" s="106"/>
      <c r="PD2" s="106"/>
      <c r="PE2" s="106"/>
      <c r="PF2" s="106"/>
      <c r="PG2" s="106"/>
      <c r="PH2" s="106"/>
      <c r="PI2" s="106"/>
      <c r="PJ2" s="106"/>
      <c r="PK2" s="106"/>
      <c r="PL2" s="106"/>
      <c r="PM2" s="106"/>
      <c r="PN2" s="106"/>
      <c r="PO2" s="106"/>
      <c r="PP2" s="106"/>
      <c r="PQ2" s="106"/>
      <c r="PR2" s="106"/>
      <c r="PS2" s="106"/>
      <c r="PT2" s="106"/>
      <c r="PU2" s="106"/>
      <c r="PV2" s="106"/>
      <c r="PW2" s="106"/>
      <c r="PX2" s="106"/>
      <c r="PY2" s="106"/>
      <c r="PZ2" s="106"/>
      <c r="QA2" s="106"/>
      <c r="QB2" s="106"/>
      <c r="QC2" s="106"/>
      <c r="QD2" s="106"/>
      <c r="QE2" s="106"/>
      <c r="QF2" s="106"/>
      <c r="QG2" s="106"/>
      <c r="QH2" s="106"/>
      <c r="QI2" s="106"/>
      <c r="QJ2" s="106"/>
      <c r="QK2" s="106"/>
      <c r="QL2" s="106"/>
      <c r="QM2" s="106"/>
      <c r="QN2" s="106"/>
      <c r="QO2" s="106"/>
      <c r="QP2" s="106"/>
      <c r="QQ2" s="106"/>
      <c r="QR2" s="106"/>
      <c r="QS2" s="106"/>
      <c r="QT2" s="106"/>
      <c r="QU2" s="106"/>
      <c r="QV2" s="106"/>
      <c r="QW2" s="106"/>
      <c r="QX2" s="106"/>
      <c r="QY2" s="106"/>
      <c r="QZ2" s="106"/>
      <c r="RA2" s="106"/>
      <c r="RB2" s="106"/>
      <c r="RC2" s="106"/>
      <c r="RD2" s="106"/>
      <c r="RE2" s="106"/>
      <c r="RF2" s="106"/>
      <c r="RG2" s="106"/>
      <c r="RH2" s="106"/>
      <c r="RI2" s="106"/>
      <c r="RJ2" s="106"/>
      <c r="RK2" s="106"/>
      <c r="RL2" s="106"/>
      <c r="RM2" s="106"/>
      <c r="RN2" s="106"/>
      <c r="RO2" s="106"/>
      <c r="RP2" s="106"/>
      <c r="RQ2" s="106"/>
      <c r="RR2" s="106"/>
      <c r="RS2" s="106"/>
      <c r="RT2" s="106"/>
      <c r="RU2" s="106"/>
      <c r="RV2" s="106"/>
      <c r="RW2" s="106"/>
      <c r="RX2" s="106"/>
      <c r="RY2" s="106"/>
      <c r="RZ2" s="106"/>
      <c r="SA2" s="106"/>
      <c r="SB2" s="106"/>
      <c r="SC2" s="106"/>
      <c r="SD2" s="106"/>
      <c r="SE2" s="106"/>
      <c r="SF2" s="106"/>
      <c r="SG2" s="106"/>
      <c r="SH2" s="106"/>
      <c r="SI2" s="106"/>
      <c r="SJ2" s="106"/>
      <c r="SK2" s="106"/>
      <c r="SL2" s="106"/>
      <c r="SM2" s="106"/>
      <c r="SN2" s="106"/>
      <c r="SO2" s="106"/>
      <c r="SP2" s="106"/>
      <c r="SQ2" s="106"/>
      <c r="SR2" s="106"/>
      <c r="SS2" s="106"/>
      <c r="ST2" s="106"/>
      <c r="SU2" s="106"/>
      <c r="SV2" s="106"/>
      <c r="SW2" s="106"/>
      <c r="SX2" s="106"/>
      <c r="SY2" s="106"/>
      <c r="SZ2" s="106"/>
      <c r="TA2" s="106"/>
      <c r="TB2" s="106"/>
      <c r="TC2" s="106"/>
      <c r="TD2" s="106"/>
      <c r="TE2" s="106"/>
      <c r="TF2" s="106"/>
      <c r="TG2" s="106"/>
      <c r="TH2" s="106"/>
      <c r="TI2" s="106"/>
      <c r="TJ2" s="106"/>
      <c r="TK2" s="106"/>
      <c r="TL2" s="106"/>
      <c r="TM2" s="106"/>
      <c r="TN2" s="106"/>
      <c r="TO2" s="106"/>
      <c r="TP2" s="106"/>
      <c r="TQ2" s="106"/>
      <c r="TR2" s="106"/>
      <c r="TS2" s="106"/>
      <c r="TT2" s="106"/>
      <c r="TU2" s="106"/>
      <c r="TV2" s="106"/>
      <c r="TW2" s="106"/>
      <c r="TX2" s="106"/>
      <c r="TY2" s="106"/>
      <c r="TZ2" s="106"/>
      <c r="UA2" s="106"/>
      <c r="UB2" s="106"/>
      <c r="UC2" s="106"/>
      <c r="UD2" s="106"/>
      <c r="UE2" s="106"/>
      <c r="UF2" s="106"/>
      <c r="UG2" s="106"/>
      <c r="UH2" s="106"/>
      <c r="UI2" s="106"/>
      <c r="UJ2" s="106"/>
      <c r="UK2" s="106"/>
      <c r="UL2" s="106"/>
      <c r="UM2" s="106"/>
      <c r="UN2" s="106"/>
      <c r="UO2" s="106"/>
      <c r="UP2" s="106"/>
      <c r="UQ2" s="106"/>
      <c r="UR2" s="106"/>
      <c r="US2" s="106"/>
      <c r="UT2" s="106"/>
      <c r="UU2" s="106"/>
      <c r="UV2" s="106"/>
      <c r="UW2" s="106"/>
      <c r="UX2" s="106"/>
      <c r="UY2" s="106"/>
      <c r="UZ2" s="106"/>
      <c r="VA2" s="106"/>
      <c r="VB2" s="106"/>
      <c r="VC2" s="106"/>
      <c r="VD2" s="106"/>
      <c r="VE2" s="106"/>
      <c r="VF2" s="106"/>
      <c r="VG2" s="106"/>
      <c r="VH2" s="106"/>
      <c r="VI2" s="106"/>
      <c r="VJ2" s="106"/>
      <c r="VK2" s="106"/>
      <c r="VL2" s="106"/>
      <c r="VM2" s="106"/>
      <c r="VN2" s="106"/>
      <c r="VO2" s="106"/>
      <c r="VP2" s="106"/>
      <c r="VQ2" s="106"/>
      <c r="VR2" s="106"/>
      <c r="VS2" s="106"/>
      <c r="VT2" s="106"/>
      <c r="VU2" s="106"/>
      <c r="VV2" s="106"/>
      <c r="VW2" s="106"/>
      <c r="VX2" s="106"/>
      <c r="VY2" s="106"/>
      <c r="VZ2" s="106"/>
      <c r="WA2" s="106"/>
      <c r="WB2" s="106"/>
      <c r="WC2" s="106"/>
      <c r="WD2" s="106"/>
      <c r="WE2" s="106"/>
      <c r="WF2" s="106"/>
      <c r="WG2" s="106"/>
      <c r="WH2" s="106"/>
      <c r="WI2" s="106"/>
      <c r="WJ2" s="106"/>
      <c r="WK2" s="106"/>
      <c r="WL2" s="106"/>
      <c r="WM2" s="106"/>
      <c r="WN2" s="106"/>
      <c r="WO2" s="106"/>
      <c r="WP2" s="106"/>
      <c r="WQ2" s="106"/>
      <c r="WR2" s="106"/>
      <c r="WS2" s="106"/>
      <c r="WT2" s="106"/>
      <c r="WU2" s="106"/>
      <c r="WV2" s="106"/>
      <c r="WW2" s="106"/>
      <c r="WX2" s="106"/>
      <c r="WY2" s="106"/>
      <c r="WZ2" s="106"/>
      <c r="XA2" s="106"/>
      <c r="XB2" s="106"/>
      <c r="XC2" s="106"/>
      <c r="XD2" s="106"/>
      <c r="XE2" s="106"/>
      <c r="XF2" s="106"/>
      <c r="XG2" s="106"/>
      <c r="XH2" s="106"/>
      <c r="XI2" s="106"/>
      <c r="XJ2" s="106"/>
      <c r="XK2" s="106"/>
      <c r="XL2" s="106"/>
      <c r="XM2" s="106"/>
      <c r="XN2" s="106"/>
      <c r="XO2" s="106"/>
      <c r="XP2" s="106"/>
      <c r="XQ2" s="106"/>
      <c r="XR2" s="106"/>
      <c r="XS2" s="106"/>
      <c r="XT2" s="106"/>
      <c r="XU2" s="106"/>
      <c r="XV2" s="106"/>
      <c r="XW2" s="106"/>
      <c r="XX2" s="106"/>
      <c r="XY2" s="106"/>
      <c r="XZ2" s="106"/>
      <c r="YA2" s="106"/>
      <c r="YB2" s="106"/>
      <c r="YC2" s="106"/>
      <c r="YD2" s="106"/>
      <c r="YE2" s="106"/>
      <c r="YF2" s="106"/>
      <c r="YG2" s="106"/>
      <c r="YH2" s="106"/>
      <c r="YI2" s="106"/>
      <c r="YJ2" s="106"/>
      <c r="YK2" s="106"/>
      <c r="YL2" s="106"/>
      <c r="YM2" s="106"/>
      <c r="YN2" s="106"/>
      <c r="YO2" s="106"/>
      <c r="YP2" s="106"/>
      <c r="YQ2" s="106"/>
      <c r="YR2" s="106"/>
      <c r="YS2" s="106"/>
      <c r="YT2" s="106"/>
      <c r="YU2" s="106"/>
      <c r="YV2" s="106"/>
      <c r="YW2" s="106"/>
      <c r="YX2" s="106"/>
      <c r="YY2" s="106"/>
      <c r="YZ2" s="106"/>
      <c r="ZA2" s="106"/>
      <c r="ZB2" s="106"/>
      <c r="ZC2" s="106"/>
      <c r="ZD2" s="106"/>
      <c r="ZE2" s="106"/>
      <c r="ZF2" s="106"/>
      <c r="ZG2" s="106"/>
      <c r="ZH2" s="106"/>
      <c r="ZI2" s="106"/>
      <c r="ZJ2" s="106"/>
      <c r="ZK2" s="106"/>
      <c r="ZL2" s="106"/>
      <c r="ZM2" s="106"/>
      <c r="ZN2" s="106"/>
      <c r="ZO2" s="106"/>
      <c r="ZP2" s="106"/>
      <c r="ZQ2" s="106"/>
      <c r="ZR2" s="106"/>
      <c r="ZS2" s="106"/>
      <c r="ZT2" s="106"/>
      <c r="ZU2" s="106"/>
      <c r="ZV2" s="106"/>
      <c r="ZW2" s="106"/>
      <c r="ZX2" s="106"/>
      <c r="ZY2" s="106"/>
      <c r="ZZ2" s="106"/>
      <c r="AAA2" s="106"/>
      <c r="AAB2" s="106"/>
      <c r="AAC2" s="106"/>
      <c r="AAD2" s="106"/>
      <c r="AAE2" s="106"/>
      <c r="AAF2" s="106"/>
      <c r="AAG2" s="106"/>
      <c r="AAH2" s="106"/>
      <c r="AAI2" s="106"/>
      <c r="AAJ2" s="106"/>
      <c r="AAK2" s="106"/>
      <c r="AAL2" s="106"/>
      <c r="AAM2" s="106"/>
      <c r="AAN2" s="106"/>
      <c r="AAO2" s="106"/>
      <c r="AAP2" s="106"/>
      <c r="AAQ2" s="106"/>
      <c r="AAR2" s="106"/>
      <c r="AAS2" s="106"/>
      <c r="AAT2" s="106"/>
      <c r="AAU2" s="106"/>
      <c r="AAV2" s="106"/>
      <c r="AAW2" s="106"/>
      <c r="AAX2" s="106"/>
      <c r="AAY2" s="106"/>
      <c r="AAZ2" s="106"/>
      <c r="ABA2" s="106"/>
      <c r="ABB2" s="106"/>
      <c r="ABC2" s="106"/>
      <c r="ABD2" s="106"/>
      <c r="ABE2" s="106"/>
      <c r="ABF2" s="106"/>
      <c r="ABG2" s="106"/>
      <c r="ABH2" s="106"/>
      <c r="ABI2" s="106"/>
      <c r="ABJ2" s="106"/>
      <c r="ABK2" s="106"/>
      <c r="ABL2" s="106"/>
      <c r="ABM2" s="106"/>
      <c r="ABN2" s="106"/>
      <c r="ABO2" s="106"/>
      <c r="ABP2" s="106"/>
      <c r="ABQ2" s="106"/>
      <c r="ABR2" s="106"/>
      <c r="ABS2" s="106"/>
      <c r="ABT2" s="106"/>
      <c r="ABU2" s="106"/>
      <c r="ABV2" s="106"/>
      <c r="ABW2" s="106"/>
      <c r="ABX2" s="106"/>
      <c r="ABY2" s="106"/>
      <c r="ABZ2" s="106"/>
      <c r="ACA2" s="106"/>
      <c r="ACB2" s="106"/>
      <c r="ACC2" s="106"/>
      <c r="ACD2" s="106"/>
      <c r="ACE2" s="106"/>
      <c r="ACF2" s="106"/>
      <c r="ACG2" s="106"/>
      <c r="ACH2" s="106"/>
      <c r="ACI2" s="106"/>
      <c r="ACJ2" s="106"/>
      <c r="ACK2" s="106"/>
      <c r="ACL2" s="106"/>
      <c r="ACM2" s="106"/>
      <c r="ACN2" s="106"/>
      <c r="ACO2" s="106"/>
      <c r="ACP2" s="106"/>
      <c r="ACQ2" s="106"/>
      <c r="ACR2" s="106"/>
      <c r="ACS2" s="106"/>
      <c r="ACT2" s="106"/>
      <c r="ACU2" s="106"/>
      <c r="ACV2" s="106"/>
      <c r="ACW2" s="106"/>
      <c r="ACX2" s="106"/>
      <c r="ACY2" s="106"/>
      <c r="ACZ2" s="106"/>
      <c r="ADA2" s="106"/>
      <c r="ADB2" s="106"/>
      <c r="ADC2" s="106"/>
      <c r="ADD2" s="106"/>
      <c r="ADE2" s="106"/>
      <c r="ADF2" s="106"/>
      <c r="ADG2" s="106"/>
      <c r="ADH2" s="106"/>
      <c r="ADI2" s="106"/>
      <c r="ADJ2" s="106"/>
      <c r="ADK2" s="106"/>
      <c r="ADL2" s="106"/>
      <c r="ADM2" s="106"/>
      <c r="ADN2" s="106"/>
    </row>
    <row r="3" spans="1:794" s="103" customFormat="1" ht="24.75" hidden="1" customHeight="1" thickBot="1" x14ac:dyDescent="0.6">
      <c r="A3" s="93"/>
      <c r="B3" s="94"/>
      <c r="C3" s="95"/>
      <c r="D3" s="96"/>
      <c r="E3" s="97"/>
      <c r="F3" s="97"/>
      <c r="G3" s="97"/>
      <c r="H3" s="97">
        <f>SUM(H5:H331)</f>
        <v>1994000</v>
      </c>
      <c r="I3" s="97">
        <f>SUM(I5:I331)</f>
        <v>6924300</v>
      </c>
      <c r="J3" s="97">
        <f>SUM(J5:J331)</f>
        <v>2944000</v>
      </c>
      <c r="K3" s="97" t="s">
        <v>1027</v>
      </c>
      <c r="L3" s="437">
        <f>SUM(L5:L331)</f>
        <v>1862500</v>
      </c>
      <c r="M3" s="437"/>
      <c r="N3" s="98">
        <f>SUM(N5:N331)</f>
        <v>10000</v>
      </c>
      <c r="O3" s="94"/>
      <c r="P3" s="437">
        <f>SUM(P5:P331)</f>
        <v>1833950</v>
      </c>
      <c r="Q3" s="437"/>
      <c r="R3" s="98">
        <f>SUM(R5:R331)</f>
        <v>721000</v>
      </c>
      <c r="S3" s="94"/>
      <c r="T3" s="98">
        <f>SUM(T5:T331)</f>
        <v>1568370</v>
      </c>
      <c r="U3" s="94" t="s">
        <v>43</v>
      </c>
      <c r="V3" s="98">
        <f>SUM(V5:V331)</f>
        <v>44000</v>
      </c>
      <c r="W3" s="94"/>
      <c r="X3" s="98">
        <f>SUM(X5:X331)</f>
        <v>905450</v>
      </c>
      <c r="Y3" s="94" t="s">
        <v>43</v>
      </c>
      <c r="Z3" s="94"/>
      <c r="AA3" s="99"/>
      <c r="AB3" s="98">
        <f>SUM(AB5:AB331)</f>
        <v>0</v>
      </c>
      <c r="AC3" s="94"/>
      <c r="AD3" s="98">
        <f>SUM(AD5:AD331)</f>
        <v>7015270</v>
      </c>
      <c r="AE3" s="98">
        <f>SUM(AE5:AE331)</f>
        <v>-4847030</v>
      </c>
      <c r="AF3" s="100"/>
      <c r="AG3" s="101"/>
      <c r="AH3" s="101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102"/>
      <c r="EQ3" s="102"/>
      <c r="ER3" s="102"/>
      <c r="ES3" s="102"/>
      <c r="ET3" s="102"/>
      <c r="EU3" s="102"/>
      <c r="EV3" s="102"/>
      <c r="EW3" s="102"/>
      <c r="EX3" s="102"/>
      <c r="EY3" s="102"/>
      <c r="EZ3" s="102"/>
      <c r="FA3" s="102"/>
      <c r="FB3" s="102"/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102"/>
      <c r="FU3" s="102"/>
      <c r="FV3" s="102"/>
      <c r="FW3" s="102"/>
      <c r="FX3" s="102"/>
      <c r="FY3" s="102"/>
      <c r="FZ3" s="102"/>
      <c r="GA3" s="102"/>
      <c r="GB3" s="102"/>
      <c r="GC3" s="102"/>
      <c r="GD3" s="102"/>
      <c r="GE3" s="102"/>
      <c r="GF3" s="102"/>
      <c r="GG3" s="102"/>
      <c r="GH3" s="102"/>
      <c r="GI3" s="102"/>
      <c r="GJ3" s="102"/>
      <c r="GK3" s="102"/>
      <c r="GL3" s="102"/>
      <c r="GM3" s="102"/>
      <c r="GN3" s="102"/>
      <c r="GO3" s="102"/>
      <c r="GP3" s="102"/>
      <c r="GQ3" s="102"/>
      <c r="GR3" s="102"/>
      <c r="GS3" s="102"/>
      <c r="GT3" s="102"/>
      <c r="GU3" s="102"/>
      <c r="GV3" s="102"/>
      <c r="GW3" s="102"/>
      <c r="GX3" s="102"/>
      <c r="GY3" s="102"/>
      <c r="GZ3" s="102"/>
      <c r="HA3" s="102"/>
      <c r="HB3" s="102"/>
      <c r="HC3" s="102"/>
      <c r="HD3" s="102"/>
      <c r="HE3" s="102"/>
      <c r="HF3" s="102"/>
      <c r="HG3" s="102"/>
      <c r="HH3" s="102"/>
      <c r="HI3" s="102"/>
      <c r="HJ3" s="102"/>
      <c r="HK3" s="102"/>
      <c r="HL3" s="102"/>
      <c r="HM3" s="102"/>
      <c r="HN3" s="102"/>
      <c r="HO3" s="102"/>
      <c r="HP3" s="102"/>
      <c r="HQ3" s="102"/>
      <c r="HR3" s="102"/>
      <c r="HS3" s="102"/>
      <c r="HT3" s="102"/>
      <c r="HU3" s="102"/>
      <c r="HV3" s="102"/>
      <c r="HW3" s="102"/>
      <c r="HX3" s="102"/>
      <c r="HY3" s="102"/>
      <c r="HZ3" s="102"/>
      <c r="IA3" s="102"/>
      <c r="IB3" s="102"/>
      <c r="IC3" s="102"/>
      <c r="ID3" s="102"/>
      <c r="IE3" s="102"/>
      <c r="IF3" s="102"/>
      <c r="IG3" s="102"/>
      <c r="IH3" s="102"/>
      <c r="II3" s="102"/>
      <c r="IJ3" s="102"/>
      <c r="IK3" s="102"/>
      <c r="IL3" s="102"/>
      <c r="IM3" s="102"/>
      <c r="IN3" s="102"/>
      <c r="IO3" s="102"/>
      <c r="IP3" s="102"/>
      <c r="IQ3" s="102"/>
      <c r="IR3" s="102"/>
      <c r="IS3" s="102"/>
      <c r="IT3" s="102"/>
      <c r="IU3" s="102"/>
      <c r="IV3" s="102"/>
      <c r="IW3" s="102"/>
      <c r="IX3" s="102"/>
      <c r="IY3" s="102"/>
      <c r="IZ3" s="102"/>
      <c r="JA3" s="102"/>
      <c r="JB3" s="102"/>
      <c r="JC3" s="102"/>
      <c r="JD3" s="102"/>
      <c r="JE3" s="102"/>
      <c r="JF3" s="102"/>
      <c r="JG3" s="102"/>
      <c r="JH3" s="102"/>
      <c r="JI3" s="102"/>
      <c r="JJ3" s="102"/>
      <c r="JK3" s="102"/>
      <c r="JL3" s="102"/>
      <c r="JM3" s="102"/>
      <c r="JN3" s="102"/>
      <c r="JO3" s="102"/>
      <c r="JP3" s="102"/>
      <c r="JQ3" s="102"/>
      <c r="JR3" s="102"/>
      <c r="JS3" s="102"/>
      <c r="JT3" s="102"/>
      <c r="JU3" s="102"/>
      <c r="JV3" s="102"/>
      <c r="JW3" s="102"/>
      <c r="JX3" s="102"/>
      <c r="JY3" s="102"/>
      <c r="JZ3" s="102"/>
      <c r="KA3" s="102"/>
      <c r="KB3" s="102"/>
      <c r="KC3" s="102"/>
      <c r="KD3" s="102"/>
      <c r="KE3" s="102"/>
      <c r="KF3" s="102"/>
      <c r="KG3" s="102"/>
      <c r="KH3" s="102"/>
      <c r="KI3" s="102"/>
      <c r="KJ3" s="102"/>
      <c r="KK3" s="102"/>
      <c r="KL3" s="102"/>
      <c r="KM3" s="102"/>
      <c r="KN3" s="102"/>
      <c r="KO3" s="102"/>
      <c r="KP3" s="102"/>
      <c r="KQ3" s="102"/>
      <c r="KR3" s="102"/>
      <c r="KS3" s="102"/>
      <c r="KT3" s="102"/>
      <c r="KU3" s="102"/>
      <c r="KV3" s="102"/>
      <c r="KW3" s="102"/>
      <c r="KX3" s="102"/>
      <c r="KY3" s="102"/>
      <c r="KZ3" s="102"/>
      <c r="LA3" s="102"/>
      <c r="LB3" s="102"/>
      <c r="LC3" s="102"/>
      <c r="LD3" s="102"/>
      <c r="LE3" s="102"/>
      <c r="LF3" s="102"/>
      <c r="LG3" s="102"/>
      <c r="LH3" s="102"/>
      <c r="LI3" s="102"/>
      <c r="LJ3" s="102"/>
      <c r="LK3" s="102"/>
      <c r="LL3" s="102"/>
      <c r="LM3" s="102"/>
      <c r="LN3" s="102"/>
      <c r="LO3" s="102"/>
      <c r="LP3" s="102"/>
      <c r="LQ3" s="102"/>
      <c r="LR3" s="102"/>
      <c r="LS3" s="102"/>
      <c r="LT3" s="102"/>
      <c r="LU3" s="102"/>
      <c r="LV3" s="102"/>
      <c r="LW3" s="102"/>
      <c r="LX3" s="102"/>
      <c r="LY3" s="102"/>
      <c r="LZ3" s="102"/>
      <c r="MA3" s="102"/>
      <c r="MB3" s="102"/>
      <c r="MC3" s="102"/>
      <c r="MD3" s="102"/>
      <c r="ME3" s="102"/>
      <c r="MF3" s="102"/>
      <c r="MG3" s="102"/>
      <c r="MH3" s="102"/>
      <c r="MI3" s="102"/>
      <c r="MJ3" s="102"/>
      <c r="MK3" s="102"/>
      <c r="ML3" s="102"/>
      <c r="MM3" s="102"/>
      <c r="MN3" s="102"/>
      <c r="MO3" s="102"/>
      <c r="MP3" s="102"/>
      <c r="MQ3" s="102"/>
      <c r="MR3" s="102"/>
      <c r="MS3" s="102"/>
      <c r="MT3" s="102"/>
      <c r="MU3" s="102"/>
      <c r="MV3" s="102"/>
      <c r="MW3" s="102"/>
      <c r="MX3" s="102"/>
      <c r="MY3" s="102"/>
      <c r="MZ3" s="102"/>
      <c r="NA3" s="102"/>
      <c r="NB3" s="102"/>
      <c r="NC3" s="102"/>
      <c r="ND3" s="102"/>
      <c r="NE3" s="102"/>
      <c r="NF3" s="102"/>
      <c r="NG3" s="102"/>
      <c r="NH3" s="102"/>
      <c r="NI3" s="102"/>
      <c r="NJ3" s="102"/>
      <c r="NK3" s="102"/>
      <c r="NL3" s="102"/>
      <c r="NM3" s="102"/>
      <c r="NN3" s="102"/>
      <c r="NO3" s="102"/>
      <c r="NP3" s="102"/>
      <c r="NQ3" s="102"/>
      <c r="NR3" s="102"/>
      <c r="NS3" s="102"/>
      <c r="NT3" s="102"/>
      <c r="NU3" s="102"/>
      <c r="NV3" s="102"/>
      <c r="NW3" s="102"/>
      <c r="NX3" s="102"/>
      <c r="NY3" s="102"/>
      <c r="NZ3" s="102"/>
      <c r="OA3" s="102"/>
      <c r="OB3" s="102"/>
      <c r="OC3" s="102"/>
      <c r="OD3" s="102"/>
      <c r="OE3" s="102"/>
      <c r="OF3" s="102"/>
      <c r="OG3" s="102"/>
      <c r="OH3" s="102"/>
      <c r="OI3" s="102"/>
      <c r="OJ3" s="102"/>
      <c r="OK3" s="102"/>
      <c r="OL3" s="102"/>
      <c r="OM3" s="102"/>
      <c r="ON3" s="102"/>
      <c r="OO3" s="102"/>
      <c r="OP3" s="102"/>
      <c r="OQ3" s="102"/>
      <c r="OR3" s="102"/>
      <c r="OS3" s="102"/>
      <c r="OT3" s="102"/>
      <c r="OU3" s="102"/>
      <c r="OV3" s="102"/>
      <c r="OW3" s="102"/>
      <c r="OX3" s="102"/>
      <c r="OY3" s="102"/>
      <c r="OZ3" s="102"/>
      <c r="PA3" s="102"/>
      <c r="PB3" s="102"/>
      <c r="PC3" s="102"/>
      <c r="PD3" s="102"/>
      <c r="PE3" s="102"/>
      <c r="PF3" s="102"/>
      <c r="PG3" s="102"/>
      <c r="PH3" s="102"/>
      <c r="PI3" s="102"/>
      <c r="PJ3" s="102"/>
      <c r="PK3" s="102"/>
      <c r="PL3" s="102"/>
      <c r="PM3" s="102"/>
      <c r="PN3" s="102"/>
      <c r="PO3" s="102"/>
      <c r="PP3" s="102"/>
      <c r="PQ3" s="102"/>
      <c r="PR3" s="102"/>
      <c r="PS3" s="102"/>
      <c r="PT3" s="102"/>
      <c r="PU3" s="102"/>
      <c r="PV3" s="102"/>
      <c r="PW3" s="102"/>
      <c r="PX3" s="102"/>
      <c r="PY3" s="102"/>
      <c r="PZ3" s="102"/>
      <c r="QA3" s="102"/>
      <c r="QB3" s="102"/>
      <c r="QC3" s="102"/>
      <c r="QD3" s="102"/>
      <c r="QE3" s="102"/>
      <c r="QF3" s="102"/>
      <c r="QG3" s="102"/>
      <c r="QH3" s="102"/>
      <c r="QI3" s="102"/>
      <c r="QJ3" s="102"/>
      <c r="QK3" s="102"/>
      <c r="QL3" s="102"/>
      <c r="QM3" s="102"/>
      <c r="QN3" s="102"/>
      <c r="QO3" s="102"/>
      <c r="QP3" s="102"/>
      <c r="QQ3" s="102"/>
      <c r="QR3" s="102"/>
      <c r="QS3" s="102"/>
      <c r="QT3" s="102"/>
      <c r="QU3" s="102"/>
      <c r="QV3" s="102"/>
      <c r="QW3" s="102"/>
      <c r="QX3" s="102"/>
      <c r="QY3" s="102"/>
      <c r="QZ3" s="102"/>
      <c r="RA3" s="102"/>
      <c r="RB3" s="102"/>
      <c r="RC3" s="102"/>
      <c r="RD3" s="102"/>
      <c r="RE3" s="102"/>
      <c r="RF3" s="102"/>
      <c r="RG3" s="102"/>
      <c r="RH3" s="102"/>
      <c r="RI3" s="102"/>
      <c r="RJ3" s="102"/>
      <c r="RK3" s="102"/>
      <c r="RL3" s="102"/>
      <c r="RM3" s="102"/>
      <c r="RN3" s="102"/>
      <c r="RO3" s="102"/>
      <c r="RP3" s="102"/>
      <c r="RQ3" s="102"/>
      <c r="RR3" s="102"/>
      <c r="RS3" s="102"/>
      <c r="RT3" s="102"/>
      <c r="RU3" s="102"/>
      <c r="RV3" s="102"/>
      <c r="RW3" s="102"/>
      <c r="RX3" s="102"/>
      <c r="RY3" s="102"/>
      <c r="RZ3" s="102"/>
      <c r="SA3" s="102"/>
      <c r="SB3" s="102"/>
      <c r="SC3" s="102"/>
      <c r="SD3" s="102"/>
      <c r="SE3" s="102"/>
      <c r="SF3" s="102"/>
      <c r="SG3" s="102"/>
      <c r="SH3" s="102"/>
      <c r="SI3" s="102"/>
      <c r="SJ3" s="102"/>
      <c r="SK3" s="102"/>
      <c r="SL3" s="102"/>
      <c r="SM3" s="102"/>
      <c r="SN3" s="102"/>
      <c r="SO3" s="102"/>
      <c r="SP3" s="102"/>
      <c r="SQ3" s="102"/>
      <c r="SR3" s="102"/>
      <c r="SS3" s="102"/>
      <c r="ST3" s="102"/>
      <c r="SU3" s="102"/>
      <c r="SV3" s="102"/>
      <c r="SW3" s="102"/>
      <c r="SX3" s="102"/>
      <c r="SY3" s="102"/>
      <c r="SZ3" s="102"/>
      <c r="TA3" s="102"/>
      <c r="TB3" s="102"/>
      <c r="TC3" s="102"/>
      <c r="TD3" s="102"/>
      <c r="TE3" s="102"/>
      <c r="TF3" s="102"/>
      <c r="TG3" s="102"/>
      <c r="TH3" s="102"/>
      <c r="TI3" s="102"/>
      <c r="TJ3" s="102"/>
      <c r="TK3" s="102"/>
      <c r="TL3" s="102"/>
      <c r="TM3" s="102"/>
      <c r="TN3" s="102"/>
      <c r="TO3" s="102"/>
      <c r="TP3" s="102"/>
      <c r="TQ3" s="102"/>
      <c r="TR3" s="102"/>
      <c r="TS3" s="102"/>
      <c r="TT3" s="102"/>
      <c r="TU3" s="102"/>
      <c r="TV3" s="102"/>
      <c r="TW3" s="102"/>
      <c r="TX3" s="102"/>
      <c r="TY3" s="102"/>
      <c r="TZ3" s="102"/>
      <c r="UA3" s="102"/>
      <c r="UB3" s="102"/>
      <c r="UC3" s="102"/>
      <c r="UD3" s="102"/>
      <c r="UE3" s="102"/>
      <c r="UF3" s="102"/>
      <c r="UG3" s="102"/>
      <c r="UH3" s="102"/>
      <c r="UI3" s="102"/>
      <c r="UJ3" s="102"/>
      <c r="UK3" s="102"/>
      <c r="UL3" s="102"/>
      <c r="UM3" s="102"/>
      <c r="UN3" s="102"/>
      <c r="UO3" s="102"/>
      <c r="UP3" s="102"/>
      <c r="UQ3" s="102"/>
      <c r="UR3" s="102"/>
      <c r="US3" s="102"/>
      <c r="UT3" s="102"/>
      <c r="UU3" s="102"/>
      <c r="UV3" s="102"/>
      <c r="UW3" s="102"/>
      <c r="UX3" s="102"/>
      <c r="UY3" s="102"/>
      <c r="UZ3" s="102"/>
      <c r="VA3" s="102"/>
      <c r="VB3" s="102"/>
      <c r="VC3" s="102"/>
      <c r="VD3" s="102"/>
      <c r="VE3" s="102"/>
      <c r="VF3" s="102"/>
      <c r="VG3" s="102"/>
      <c r="VH3" s="102"/>
      <c r="VI3" s="102"/>
      <c r="VJ3" s="102"/>
      <c r="VK3" s="102"/>
      <c r="VL3" s="102"/>
      <c r="VM3" s="102"/>
      <c r="VN3" s="102"/>
      <c r="VO3" s="102"/>
      <c r="VP3" s="102"/>
      <c r="VQ3" s="102"/>
      <c r="VR3" s="102"/>
      <c r="VS3" s="102"/>
      <c r="VT3" s="102"/>
      <c r="VU3" s="102"/>
      <c r="VV3" s="102"/>
      <c r="VW3" s="102"/>
      <c r="VX3" s="102"/>
      <c r="VY3" s="102"/>
      <c r="VZ3" s="102"/>
      <c r="WA3" s="102"/>
      <c r="WB3" s="102"/>
      <c r="WC3" s="102"/>
      <c r="WD3" s="102"/>
      <c r="WE3" s="102"/>
      <c r="WF3" s="102"/>
      <c r="WG3" s="102"/>
      <c r="WH3" s="102"/>
      <c r="WI3" s="102"/>
      <c r="WJ3" s="102"/>
      <c r="WK3" s="102"/>
      <c r="WL3" s="102"/>
      <c r="WM3" s="102"/>
      <c r="WN3" s="102"/>
      <c r="WO3" s="102"/>
      <c r="WP3" s="102"/>
      <c r="WQ3" s="102"/>
      <c r="WR3" s="102"/>
      <c r="WS3" s="102"/>
      <c r="WT3" s="102"/>
      <c r="WU3" s="102"/>
      <c r="WV3" s="102"/>
      <c r="WW3" s="102"/>
      <c r="WX3" s="102"/>
      <c r="WY3" s="102"/>
      <c r="WZ3" s="102"/>
      <c r="XA3" s="102"/>
      <c r="XB3" s="102"/>
      <c r="XC3" s="102"/>
      <c r="XD3" s="102"/>
      <c r="XE3" s="102"/>
      <c r="XF3" s="102"/>
      <c r="XG3" s="102"/>
      <c r="XH3" s="102"/>
      <c r="XI3" s="102"/>
      <c r="XJ3" s="102"/>
      <c r="XK3" s="102"/>
      <c r="XL3" s="102"/>
      <c r="XM3" s="102"/>
      <c r="XN3" s="102"/>
      <c r="XO3" s="102"/>
      <c r="XP3" s="102"/>
      <c r="XQ3" s="102"/>
      <c r="XR3" s="102"/>
      <c r="XS3" s="102"/>
      <c r="XT3" s="102"/>
      <c r="XU3" s="102"/>
      <c r="XV3" s="102"/>
      <c r="XW3" s="102"/>
      <c r="XX3" s="102"/>
      <c r="XY3" s="102"/>
      <c r="XZ3" s="102"/>
      <c r="YA3" s="102"/>
      <c r="YB3" s="102"/>
      <c r="YC3" s="102"/>
      <c r="YD3" s="102"/>
      <c r="YE3" s="102"/>
      <c r="YF3" s="102"/>
      <c r="YG3" s="102"/>
      <c r="YH3" s="102"/>
      <c r="YI3" s="102"/>
      <c r="YJ3" s="102"/>
      <c r="YK3" s="102"/>
      <c r="YL3" s="102"/>
      <c r="YM3" s="102"/>
      <c r="YN3" s="102"/>
      <c r="YO3" s="102"/>
      <c r="YP3" s="102"/>
      <c r="YQ3" s="102"/>
      <c r="YR3" s="102"/>
      <c r="YS3" s="102"/>
      <c r="YT3" s="102"/>
      <c r="YU3" s="102"/>
      <c r="YV3" s="102"/>
      <c r="YW3" s="102"/>
      <c r="YX3" s="102"/>
      <c r="YY3" s="102"/>
      <c r="YZ3" s="102"/>
      <c r="ZA3" s="102"/>
      <c r="ZB3" s="102"/>
      <c r="ZC3" s="102"/>
      <c r="ZD3" s="102"/>
      <c r="ZE3" s="102"/>
      <c r="ZF3" s="102"/>
      <c r="ZG3" s="102"/>
      <c r="ZH3" s="102"/>
      <c r="ZI3" s="102"/>
      <c r="ZJ3" s="102"/>
      <c r="ZK3" s="102"/>
      <c r="ZL3" s="102"/>
      <c r="ZM3" s="102"/>
      <c r="ZN3" s="102"/>
      <c r="ZO3" s="102"/>
      <c r="ZP3" s="102"/>
      <c r="ZQ3" s="102"/>
      <c r="ZR3" s="102"/>
      <c r="ZS3" s="102"/>
      <c r="ZT3" s="102"/>
      <c r="ZU3" s="102"/>
      <c r="ZV3" s="102"/>
      <c r="ZW3" s="102"/>
      <c r="ZX3" s="102"/>
      <c r="ZY3" s="102"/>
      <c r="ZZ3" s="102"/>
      <c r="AAA3" s="102"/>
      <c r="AAB3" s="102"/>
      <c r="AAC3" s="102"/>
      <c r="AAD3" s="102"/>
      <c r="AAE3" s="102"/>
      <c r="AAF3" s="102"/>
      <c r="AAG3" s="102"/>
      <c r="AAH3" s="102"/>
      <c r="AAI3" s="102"/>
      <c r="AAJ3" s="102"/>
      <c r="AAK3" s="102"/>
      <c r="AAL3" s="102"/>
      <c r="AAM3" s="102"/>
      <c r="AAN3" s="102"/>
      <c r="AAO3" s="102"/>
      <c r="AAP3" s="102"/>
      <c r="AAQ3" s="102"/>
      <c r="AAR3" s="102"/>
      <c r="AAS3" s="102"/>
      <c r="AAT3" s="102"/>
      <c r="AAU3" s="102"/>
      <c r="AAV3" s="102"/>
      <c r="AAW3" s="102"/>
      <c r="AAX3" s="102"/>
      <c r="AAY3" s="102"/>
      <c r="AAZ3" s="102"/>
      <c r="ABA3" s="102"/>
      <c r="ABB3" s="102"/>
      <c r="ABC3" s="102"/>
      <c r="ABD3" s="102"/>
      <c r="ABE3" s="102"/>
      <c r="ABF3" s="102"/>
      <c r="ABG3" s="102"/>
      <c r="ABH3" s="102"/>
      <c r="ABI3" s="102"/>
      <c r="ABJ3" s="102"/>
      <c r="ABK3" s="102"/>
      <c r="ABL3" s="102"/>
      <c r="ABM3" s="102"/>
      <c r="ABN3" s="102"/>
      <c r="ABO3" s="102"/>
      <c r="ABP3" s="102"/>
      <c r="ABQ3" s="102"/>
      <c r="ABR3" s="102"/>
      <c r="ABS3" s="102"/>
      <c r="ABT3" s="102"/>
      <c r="ABU3" s="102"/>
      <c r="ABV3" s="102"/>
      <c r="ABW3" s="102"/>
      <c r="ABX3" s="102"/>
      <c r="ABY3" s="102"/>
      <c r="ABZ3" s="102"/>
      <c r="ACA3" s="102"/>
      <c r="ACB3" s="102"/>
      <c r="ACC3" s="102"/>
      <c r="ACD3" s="102"/>
      <c r="ACE3" s="102"/>
      <c r="ACF3" s="102"/>
      <c r="ACG3" s="102"/>
      <c r="ACH3" s="102"/>
      <c r="ACI3" s="102"/>
      <c r="ACJ3" s="102"/>
      <c r="ACK3" s="102"/>
      <c r="ACL3" s="102"/>
      <c r="ACM3" s="102"/>
      <c r="ACN3" s="102"/>
      <c r="ACO3" s="102"/>
      <c r="ACP3" s="102"/>
      <c r="ACQ3" s="102"/>
      <c r="ACR3" s="102"/>
      <c r="ACS3" s="102"/>
      <c r="ACT3" s="102"/>
      <c r="ACU3" s="102"/>
      <c r="ACV3" s="102"/>
      <c r="ACW3" s="102"/>
      <c r="ACX3" s="102"/>
      <c r="ACY3" s="102"/>
      <c r="ACZ3" s="102"/>
      <c r="ADA3" s="102"/>
      <c r="ADB3" s="102"/>
      <c r="ADC3" s="102"/>
      <c r="ADD3" s="102"/>
      <c r="ADE3" s="102"/>
      <c r="ADF3" s="102"/>
      <c r="ADG3" s="102"/>
      <c r="ADH3" s="102"/>
      <c r="ADI3" s="102"/>
      <c r="ADJ3" s="102"/>
      <c r="ADK3" s="102"/>
      <c r="ADL3" s="102"/>
      <c r="ADM3" s="102"/>
      <c r="ADN3" s="102"/>
    </row>
    <row r="4" spans="1:794" s="122" customFormat="1" ht="52.5" customHeight="1" thickBot="1" x14ac:dyDescent="0.3">
      <c r="A4" s="91" t="s">
        <v>0</v>
      </c>
      <c r="B4" s="114" t="s">
        <v>16</v>
      </c>
      <c r="C4" s="114" t="s">
        <v>45</v>
      </c>
      <c r="D4" s="128" t="s">
        <v>1</v>
      </c>
      <c r="E4" s="115" t="s">
        <v>2</v>
      </c>
      <c r="F4" s="92" t="s">
        <v>3</v>
      </c>
      <c r="G4" s="92" t="s">
        <v>4</v>
      </c>
      <c r="H4" s="92" t="s">
        <v>6</v>
      </c>
      <c r="I4" s="92" t="s">
        <v>14</v>
      </c>
      <c r="J4" s="92" t="s">
        <v>15</v>
      </c>
      <c r="K4" s="123" t="s">
        <v>5</v>
      </c>
      <c r="L4" s="116" t="s">
        <v>6</v>
      </c>
      <c r="M4" s="92" t="s">
        <v>12</v>
      </c>
      <c r="N4" s="92" t="s">
        <v>15</v>
      </c>
      <c r="O4" s="92" t="s">
        <v>12</v>
      </c>
      <c r="P4" s="115" t="s">
        <v>7</v>
      </c>
      <c r="Q4" s="115" t="s">
        <v>12</v>
      </c>
      <c r="R4" s="92" t="s">
        <v>15</v>
      </c>
      <c r="S4" s="92" t="s">
        <v>12</v>
      </c>
      <c r="T4" s="115" t="s">
        <v>8</v>
      </c>
      <c r="U4" s="92" t="s">
        <v>12</v>
      </c>
      <c r="V4" s="92" t="s">
        <v>15</v>
      </c>
      <c r="W4" s="92" t="s">
        <v>12</v>
      </c>
      <c r="X4" s="92" t="s">
        <v>9</v>
      </c>
      <c r="Y4" s="92" t="s">
        <v>12</v>
      </c>
      <c r="Z4" s="92" t="s">
        <v>15</v>
      </c>
      <c r="AA4" s="92" t="s">
        <v>12</v>
      </c>
      <c r="AB4" s="92" t="s">
        <v>10</v>
      </c>
      <c r="AC4" s="92" t="s">
        <v>12</v>
      </c>
      <c r="AD4" s="117" t="s">
        <v>44</v>
      </c>
      <c r="AE4" s="118" t="s">
        <v>11</v>
      </c>
      <c r="AF4" s="119" t="s">
        <v>12</v>
      </c>
      <c r="AG4" s="120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  <c r="CK4" s="121"/>
      <c r="CL4" s="121"/>
      <c r="CM4" s="121"/>
      <c r="CN4" s="121"/>
      <c r="CO4" s="121"/>
      <c r="CP4" s="121"/>
      <c r="CQ4" s="121"/>
      <c r="CR4" s="121"/>
      <c r="CS4" s="121"/>
      <c r="CT4" s="121"/>
      <c r="CU4" s="121"/>
      <c r="CV4" s="121"/>
      <c r="CW4" s="121"/>
      <c r="CX4" s="121"/>
      <c r="CY4" s="121"/>
      <c r="CZ4" s="121"/>
      <c r="DA4" s="121"/>
      <c r="DB4" s="121"/>
      <c r="DC4" s="121"/>
      <c r="DD4" s="121"/>
      <c r="DE4" s="121"/>
      <c r="DF4" s="121"/>
      <c r="DG4" s="121"/>
      <c r="DH4" s="121"/>
      <c r="DI4" s="121"/>
      <c r="DJ4" s="121"/>
      <c r="DK4" s="121"/>
      <c r="DL4" s="121"/>
      <c r="DM4" s="121"/>
      <c r="DN4" s="121"/>
      <c r="DO4" s="121"/>
      <c r="DP4" s="121"/>
      <c r="DQ4" s="121"/>
      <c r="DR4" s="121"/>
      <c r="DS4" s="121"/>
      <c r="DT4" s="121"/>
      <c r="DU4" s="121"/>
      <c r="DV4" s="121"/>
      <c r="DW4" s="121"/>
      <c r="DX4" s="121"/>
      <c r="DY4" s="121"/>
      <c r="DZ4" s="121"/>
      <c r="EA4" s="121"/>
      <c r="EB4" s="121"/>
      <c r="EC4" s="121"/>
      <c r="ED4" s="121"/>
      <c r="EE4" s="121"/>
      <c r="EF4" s="121"/>
      <c r="EG4" s="121"/>
      <c r="EH4" s="121"/>
      <c r="EI4" s="121"/>
      <c r="EJ4" s="121"/>
      <c r="EK4" s="121"/>
      <c r="EL4" s="121"/>
      <c r="EM4" s="121"/>
      <c r="EN4" s="121"/>
      <c r="EO4" s="121"/>
      <c r="EP4" s="121"/>
      <c r="EQ4" s="121"/>
      <c r="ER4" s="121"/>
      <c r="ES4" s="121"/>
      <c r="ET4" s="121"/>
      <c r="EU4" s="121"/>
      <c r="EV4" s="121"/>
      <c r="EW4" s="121"/>
      <c r="EX4" s="121"/>
      <c r="EY4" s="121"/>
      <c r="EZ4" s="121"/>
      <c r="FA4" s="121"/>
      <c r="FB4" s="121"/>
      <c r="FC4" s="121"/>
      <c r="FD4" s="121"/>
      <c r="FE4" s="121"/>
      <c r="FF4" s="121"/>
      <c r="FG4" s="121"/>
      <c r="FH4" s="121"/>
      <c r="FI4" s="121"/>
      <c r="FJ4" s="121"/>
      <c r="FK4" s="121"/>
      <c r="FL4" s="121"/>
      <c r="FM4" s="121"/>
      <c r="FN4" s="121"/>
      <c r="FO4" s="121"/>
      <c r="FP4" s="121"/>
      <c r="FQ4" s="121"/>
      <c r="FR4" s="121"/>
      <c r="FS4" s="121"/>
      <c r="FT4" s="121"/>
      <c r="FU4" s="121"/>
      <c r="FV4" s="121"/>
      <c r="FW4" s="121"/>
      <c r="FX4" s="121"/>
      <c r="FY4" s="121"/>
      <c r="FZ4" s="121"/>
      <c r="GA4" s="121"/>
      <c r="GB4" s="121"/>
      <c r="GC4" s="121"/>
      <c r="GD4" s="121"/>
      <c r="GE4" s="121"/>
      <c r="GF4" s="121"/>
      <c r="GG4" s="121"/>
      <c r="GH4" s="121"/>
      <c r="GI4" s="121"/>
      <c r="GJ4" s="121"/>
      <c r="GK4" s="121"/>
      <c r="GL4" s="121"/>
      <c r="GM4" s="121"/>
      <c r="GN4" s="121"/>
      <c r="GO4" s="121"/>
      <c r="GP4" s="121"/>
      <c r="GQ4" s="121"/>
      <c r="GR4" s="121"/>
      <c r="GS4" s="121"/>
      <c r="GT4" s="121"/>
      <c r="GU4" s="121"/>
      <c r="GV4" s="121"/>
      <c r="GW4" s="121"/>
      <c r="GX4" s="121"/>
      <c r="GY4" s="121"/>
      <c r="GZ4" s="121"/>
      <c r="HA4" s="121"/>
      <c r="HB4" s="121"/>
      <c r="HC4" s="121"/>
      <c r="HD4" s="121"/>
      <c r="HE4" s="121"/>
      <c r="HF4" s="121"/>
      <c r="HG4" s="121"/>
      <c r="HH4" s="121"/>
      <c r="HI4" s="121"/>
      <c r="HJ4" s="121"/>
      <c r="HK4" s="121"/>
      <c r="HL4" s="121"/>
      <c r="HM4" s="121"/>
      <c r="HN4" s="121"/>
      <c r="HO4" s="121"/>
      <c r="HP4" s="121"/>
      <c r="HQ4" s="121"/>
      <c r="HR4" s="121"/>
      <c r="HS4" s="121"/>
      <c r="HT4" s="121"/>
      <c r="HU4" s="121"/>
      <c r="HV4" s="121"/>
      <c r="HW4" s="121"/>
      <c r="HX4" s="121"/>
      <c r="HY4" s="121"/>
      <c r="HZ4" s="121"/>
      <c r="IA4" s="121"/>
      <c r="IB4" s="121"/>
      <c r="IC4" s="121"/>
      <c r="ID4" s="121"/>
      <c r="IE4" s="121"/>
      <c r="IF4" s="121"/>
      <c r="IG4" s="121"/>
      <c r="IH4" s="121"/>
      <c r="II4" s="121"/>
      <c r="IJ4" s="121"/>
      <c r="IK4" s="121"/>
      <c r="IL4" s="121"/>
      <c r="IM4" s="121"/>
      <c r="IN4" s="121"/>
      <c r="IO4" s="121"/>
      <c r="IP4" s="121"/>
      <c r="IQ4" s="121"/>
      <c r="IR4" s="121"/>
      <c r="IS4" s="121"/>
      <c r="IT4" s="121"/>
      <c r="IU4" s="121"/>
      <c r="IV4" s="121"/>
      <c r="IW4" s="121"/>
      <c r="IX4" s="121"/>
      <c r="IY4" s="121"/>
      <c r="IZ4" s="121"/>
      <c r="JA4" s="121"/>
      <c r="JB4" s="121"/>
      <c r="JC4" s="121"/>
      <c r="JD4" s="121"/>
      <c r="JE4" s="121"/>
      <c r="JF4" s="121"/>
      <c r="JG4" s="121"/>
      <c r="JH4" s="121"/>
      <c r="JI4" s="121"/>
      <c r="JJ4" s="121"/>
      <c r="JK4" s="121"/>
      <c r="JL4" s="121"/>
      <c r="JM4" s="121"/>
      <c r="JN4" s="121"/>
      <c r="JO4" s="121"/>
      <c r="JP4" s="121"/>
      <c r="JQ4" s="121"/>
      <c r="JR4" s="121"/>
      <c r="JS4" s="121"/>
      <c r="JT4" s="121"/>
      <c r="JU4" s="121"/>
      <c r="JV4" s="121"/>
      <c r="JW4" s="121"/>
      <c r="JX4" s="121"/>
      <c r="JY4" s="121"/>
      <c r="JZ4" s="121"/>
      <c r="KA4" s="121"/>
      <c r="KB4" s="121"/>
      <c r="KC4" s="121"/>
      <c r="KD4" s="121"/>
      <c r="KE4" s="121"/>
      <c r="KF4" s="121"/>
      <c r="KG4" s="121"/>
      <c r="KH4" s="121"/>
      <c r="KI4" s="121"/>
      <c r="KJ4" s="121"/>
      <c r="KK4" s="121"/>
      <c r="KL4" s="121"/>
      <c r="KM4" s="121"/>
      <c r="KN4" s="121"/>
      <c r="KO4" s="121"/>
      <c r="KP4" s="121"/>
      <c r="KQ4" s="121"/>
      <c r="KR4" s="121"/>
      <c r="KS4" s="121"/>
      <c r="KT4" s="121"/>
      <c r="KU4" s="121"/>
      <c r="KV4" s="121"/>
      <c r="KW4" s="121"/>
      <c r="KX4" s="121"/>
      <c r="KY4" s="121"/>
      <c r="KZ4" s="121"/>
      <c r="LA4" s="121"/>
      <c r="LB4" s="121"/>
      <c r="LC4" s="121"/>
      <c r="LD4" s="121"/>
      <c r="LE4" s="121"/>
      <c r="LF4" s="121"/>
      <c r="LG4" s="121"/>
      <c r="LH4" s="121"/>
      <c r="LI4" s="121"/>
      <c r="LJ4" s="121"/>
      <c r="LK4" s="121"/>
      <c r="LL4" s="121"/>
      <c r="LM4" s="121"/>
      <c r="LN4" s="121"/>
      <c r="LO4" s="121"/>
      <c r="LP4" s="121"/>
      <c r="LQ4" s="121"/>
      <c r="LR4" s="121"/>
      <c r="LS4" s="121"/>
      <c r="LT4" s="121"/>
      <c r="LU4" s="121"/>
      <c r="LV4" s="121"/>
      <c r="LW4" s="121"/>
      <c r="LX4" s="121"/>
      <c r="LY4" s="121"/>
      <c r="LZ4" s="121"/>
      <c r="MA4" s="121"/>
      <c r="MB4" s="121"/>
      <c r="MC4" s="121"/>
      <c r="MD4" s="121"/>
      <c r="ME4" s="121"/>
      <c r="MF4" s="121"/>
      <c r="MG4" s="121"/>
      <c r="MH4" s="121"/>
      <c r="MI4" s="121"/>
      <c r="MJ4" s="121"/>
      <c r="MK4" s="121"/>
      <c r="ML4" s="121"/>
      <c r="MM4" s="121"/>
      <c r="MN4" s="121"/>
      <c r="MO4" s="121"/>
      <c r="MP4" s="121"/>
      <c r="MQ4" s="121"/>
      <c r="MR4" s="121"/>
      <c r="MS4" s="121"/>
      <c r="MT4" s="121"/>
      <c r="MU4" s="121"/>
      <c r="MV4" s="121"/>
      <c r="MW4" s="121"/>
      <c r="MX4" s="121"/>
      <c r="MY4" s="121"/>
      <c r="MZ4" s="121"/>
      <c r="NA4" s="121"/>
      <c r="NB4" s="121"/>
      <c r="NC4" s="121"/>
      <c r="ND4" s="121"/>
      <c r="NE4" s="121"/>
      <c r="NF4" s="121"/>
      <c r="NG4" s="121"/>
      <c r="NH4" s="121"/>
      <c r="NI4" s="121"/>
      <c r="NJ4" s="121"/>
      <c r="NK4" s="121"/>
      <c r="NL4" s="121"/>
      <c r="NM4" s="121"/>
      <c r="NN4" s="121"/>
      <c r="NO4" s="121"/>
      <c r="NP4" s="121"/>
      <c r="NQ4" s="121"/>
      <c r="NR4" s="121"/>
      <c r="NS4" s="121"/>
      <c r="NT4" s="121"/>
      <c r="NU4" s="121"/>
      <c r="NV4" s="121"/>
      <c r="NW4" s="121"/>
      <c r="NX4" s="121"/>
      <c r="NY4" s="121"/>
      <c r="NZ4" s="121"/>
      <c r="OA4" s="121"/>
      <c r="OB4" s="121"/>
      <c r="OC4" s="121"/>
      <c r="OD4" s="121"/>
      <c r="OE4" s="121"/>
      <c r="OF4" s="121"/>
      <c r="OG4" s="121"/>
      <c r="OH4" s="121"/>
      <c r="OI4" s="121"/>
      <c r="OJ4" s="121"/>
      <c r="OK4" s="121"/>
      <c r="OL4" s="121"/>
      <c r="OM4" s="121"/>
      <c r="ON4" s="121"/>
      <c r="OO4" s="121"/>
      <c r="OP4" s="121"/>
      <c r="OQ4" s="121"/>
      <c r="OR4" s="121"/>
      <c r="OS4" s="121"/>
      <c r="OT4" s="121"/>
      <c r="OU4" s="121"/>
      <c r="OV4" s="121"/>
      <c r="OW4" s="121"/>
      <c r="OX4" s="121"/>
      <c r="OY4" s="121"/>
      <c r="OZ4" s="121"/>
      <c r="PA4" s="121"/>
      <c r="PB4" s="121"/>
      <c r="PC4" s="121"/>
      <c r="PD4" s="121"/>
      <c r="PE4" s="121"/>
      <c r="PF4" s="121"/>
      <c r="PG4" s="121"/>
      <c r="PH4" s="121"/>
      <c r="PI4" s="121"/>
      <c r="PJ4" s="121"/>
      <c r="PK4" s="121"/>
      <c r="PL4" s="121"/>
      <c r="PM4" s="121"/>
      <c r="PN4" s="121"/>
      <c r="PO4" s="121"/>
      <c r="PP4" s="121"/>
      <c r="PQ4" s="121"/>
      <c r="PR4" s="121"/>
      <c r="PS4" s="121"/>
      <c r="PT4" s="121"/>
      <c r="PU4" s="121"/>
      <c r="PV4" s="121"/>
      <c r="PW4" s="121"/>
      <c r="PX4" s="121"/>
      <c r="PY4" s="121"/>
      <c r="PZ4" s="121"/>
      <c r="QA4" s="121"/>
      <c r="QB4" s="121"/>
      <c r="QC4" s="121"/>
      <c r="QD4" s="121"/>
      <c r="QE4" s="121"/>
      <c r="QF4" s="121"/>
      <c r="QG4" s="121"/>
      <c r="QH4" s="121"/>
      <c r="QI4" s="121"/>
      <c r="QJ4" s="121"/>
      <c r="QK4" s="121"/>
      <c r="QL4" s="121"/>
      <c r="QM4" s="121"/>
      <c r="QN4" s="121"/>
      <c r="QO4" s="121"/>
      <c r="QP4" s="121"/>
      <c r="QQ4" s="121"/>
      <c r="QR4" s="121"/>
      <c r="QS4" s="121"/>
      <c r="QT4" s="121"/>
      <c r="QU4" s="121"/>
      <c r="QV4" s="121"/>
      <c r="QW4" s="121"/>
      <c r="QX4" s="121"/>
      <c r="QY4" s="121"/>
      <c r="QZ4" s="121"/>
      <c r="RA4" s="121"/>
      <c r="RB4" s="121"/>
      <c r="RC4" s="121"/>
      <c r="RD4" s="121"/>
      <c r="RE4" s="121"/>
      <c r="RF4" s="121"/>
      <c r="RG4" s="121"/>
      <c r="RH4" s="121"/>
      <c r="RI4" s="121"/>
      <c r="RJ4" s="121"/>
      <c r="RK4" s="121"/>
      <c r="RL4" s="121"/>
      <c r="RM4" s="121"/>
      <c r="RN4" s="121"/>
      <c r="RO4" s="121"/>
      <c r="RP4" s="121"/>
      <c r="RQ4" s="121"/>
      <c r="RR4" s="121"/>
      <c r="RS4" s="121"/>
      <c r="RT4" s="121"/>
      <c r="RU4" s="121"/>
      <c r="RV4" s="121"/>
      <c r="RW4" s="121"/>
      <c r="RX4" s="121"/>
      <c r="RY4" s="121"/>
      <c r="RZ4" s="121"/>
      <c r="SA4" s="121"/>
      <c r="SB4" s="121"/>
      <c r="SC4" s="121"/>
      <c r="SD4" s="121"/>
      <c r="SE4" s="121"/>
      <c r="SF4" s="121"/>
      <c r="SG4" s="121"/>
      <c r="SH4" s="121"/>
      <c r="SI4" s="121"/>
      <c r="SJ4" s="121"/>
      <c r="SK4" s="121"/>
      <c r="SL4" s="121"/>
      <c r="SM4" s="121"/>
      <c r="SN4" s="121"/>
      <c r="SO4" s="121"/>
      <c r="SP4" s="121"/>
      <c r="SQ4" s="121"/>
      <c r="SR4" s="121"/>
      <c r="SS4" s="121"/>
      <c r="ST4" s="121"/>
      <c r="SU4" s="121"/>
      <c r="SV4" s="121"/>
      <c r="SW4" s="121"/>
      <c r="SX4" s="121"/>
      <c r="SY4" s="121"/>
      <c r="SZ4" s="121"/>
      <c r="TA4" s="121"/>
      <c r="TB4" s="121"/>
      <c r="TC4" s="121"/>
      <c r="TD4" s="121"/>
      <c r="TE4" s="121"/>
      <c r="TF4" s="121"/>
      <c r="TG4" s="121"/>
      <c r="TH4" s="121"/>
      <c r="TI4" s="121"/>
      <c r="TJ4" s="121"/>
      <c r="TK4" s="121"/>
      <c r="TL4" s="121"/>
      <c r="TM4" s="121"/>
      <c r="TN4" s="121"/>
      <c r="TO4" s="121"/>
      <c r="TP4" s="121"/>
      <c r="TQ4" s="121"/>
      <c r="TR4" s="121"/>
      <c r="TS4" s="121"/>
      <c r="TT4" s="121"/>
      <c r="TU4" s="121"/>
      <c r="TV4" s="121"/>
      <c r="TW4" s="121"/>
      <c r="TX4" s="121"/>
      <c r="TY4" s="121"/>
      <c r="TZ4" s="121"/>
      <c r="UA4" s="121"/>
      <c r="UB4" s="121"/>
      <c r="UC4" s="121"/>
      <c r="UD4" s="121"/>
      <c r="UE4" s="121"/>
      <c r="UF4" s="121"/>
      <c r="UG4" s="121"/>
      <c r="UH4" s="121"/>
      <c r="UI4" s="121"/>
      <c r="UJ4" s="121"/>
      <c r="UK4" s="121"/>
      <c r="UL4" s="121"/>
      <c r="UM4" s="121"/>
      <c r="UN4" s="121"/>
      <c r="UO4" s="121"/>
      <c r="UP4" s="121"/>
      <c r="UQ4" s="121"/>
      <c r="UR4" s="121"/>
      <c r="US4" s="121"/>
      <c r="UT4" s="121"/>
      <c r="UU4" s="121"/>
      <c r="UV4" s="121"/>
      <c r="UW4" s="121"/>
      <c r="UX4" s="121"/>
      <c r="UY4" s="121"/>
      <c r="UZ4" s="121"/>
      <c r="VA4" s="121"/>
      <c r="VB4" s="121"/>
      <c r="VC4" s="121"/>
      <c r="VD4" s="121"/>
      <c r="VE4" s="121"/>
      <c r="VF4" s="121"/>
      <c r="VG4" s="121"/>
      <c r="VH4" s="121"/>
      <c r="VI4" s="121"/>
      <c r="VJ4" s="121"/>
      <c r="VK4" s="121"/>
      <c r="VL4" s="121"/>
      <c r="VM4" s="121"/>
      <c r="VN4" s="121"/>
      <c r="VO4" s="121"/>
      <c r="VP4" s="121"/>
      <c r="VQ4" s="121"/>
      <c r="VR4" s="121"/>
      <c r="VS4" s="121"/>
      <c r="VT4" s="121"/>
      <c r="VU4" s="121"/>
      <c r="VV4" s="121"/>
      <c r="VW4" s="121"/>
      <c r="VX4" s="121"/>
      <c r="VY4" s="121"/>
      <c r="VZ4" s="121"/>
      <c r="WA4" s="121"/>
      <c r="WB4" s="121"/>
      <c r="WC4" s="121"/>
      <c r="WD4" s="121"/>
      <c r="WE4" s="121"/>
      <c r="WF4" s="121"/>
      <c r="WG4" s="121"/>
      <c r="WH4" s="121"/>
      <c r="WI4" s="121"/>
      <c r="WJ4" s="121"/>
      <c r="WK4" s="121"/>
      <c r="WL4" s="121"/>
      <c r="WM4" s="121"/>
      <c r="WN4" s="121"/>
      <c r="WO4" s="121"/>
      <c r="WP4" s="121"/>
      <c r="WQ4" s="121"/>
      <c r="WR4" s="121"/>
      <c r="WS4" s="121"/>
      <c r="WT4" s="121"/>
      <c r="WU4" s="121"/>
      <c r="WV4" s="121"/>
      <c r="WW4" s="121"/>
      <c r="WX4" s="121"/>
      <c r="WY4" s="121"/>
      <c r="WZ4" s="121"/>
      <c r="XA4" s="121"/>
      <c r="XB4" s="121"/>
      <c r="XC4" s="121"/>
      <c r="XD4" s="121"/>
      <c r="XE4" s="121"/>
      <c r="XF4" s="121"/>
      <c r="XG4" s="121"/>
      <c r="XH4" s="121"/>
      <c r="XI4" s="121"/>
      <c r="XJ4" s="121"/>
      <c r="XK4" s="121"/>
      <c r="XL4" s="121"/>
      <c r="XM4" s="121"/>
      <c r="XN4" s="121"/>
      <c r="XO4" s="121"/>
      <c r="XP4" s="121"/>
      <c r="XQ4" s="121"/>
      <c r="XR4" s="121"/>
      <c r="XS4" s="121"/>
      <c r="XT4" s="121"/>
      <c r="XU4" s="121"/>
      <c r="XV4" s="121"/>
      <c r="XW4" s="121"/>
      <c r="XX4" s="121"/>
      <c r="XY4" s="121"/>
      <c r="XZ4" s="121"/>
      <c r="YA4" s="121"/>
      <c r="YB4" s="121"/>
      <c r="YC4" s="121"/>
      <c r="YD4" s="121"/>
      <c r="YE4" s="121"/>
      <c r="YF4" s="121"/>
      <c r="YG4" s="121"/>
      <c r="YH4" s="121"/>
      <c r="YI4" s="121"/>
      <c r="YJ4" s="121"/>
      <c r="YK4" s="121"/>
      <c r="YL4" s="121"/>
      <c r="YM4" s="121"/>
      <c r="YN4" s="121"/>
      <c r="YO4" s="121"/>
      <c r="YP4" s="121"/>
      <c r="YQ4" s="121"/>
      <c r="YR4" s="121"/>
      <c r="YS4" s="121"/>
      <c r="YT4" s="121"/>
      <c r="YU4" s="121"/>
      <c r="YV4" s="121"/>
      <c r="YW4" s="121"/>
      <c r="YX4" s="121"/>
      <c r="YY4" s="121"/>
      <c r="YZ4" s="121"/>
      <c r="ZA4" s="121"/>
      <c r="ZB4" s="121"/>
      <c r="ZC4" s="121"/>
      <c r="ZD4" s="121"/>
      <c r="ZE4" s="121"/>
      <c r="ZF4" s="121"/>
      <c r="ZG4" s="121"/>
      <c r="ZH4" s="121"/>
      <c r="ZI4" s="121"/>
      <c r="ZJ4" s="121"/>
      <c r="ZK4" s="121"/>
      <c r="ZL4" s="121"/>
      <c r="ZM4" s="121"/>
      <c r="ZN4" s="121"/>
      <c r="ZO4" s="121"/>
      <c r="ZP4" s="121"/>
      <c r="ZQ4" s="121"/>
      <c r="ZR4" s="121"/>
      <c r="ZS4" s="121"/>
      <c r="ZT4" s="121"/>
      <c r="ZU4" s="121"/>
      <c r="ZV4" s="121"/>
      <c r="ZW4" s="121"/>
      <c r="ZX4" s="121"/>
      <c r="ZY4" s="121"/>
      <c r="ZZ4" s="121"/>
      <c r="AAA4" s="121"/>
      <c r="AAB4" s="121"/>
      <c r="AAC4" s="121"/>
      <c r="AAD4" s="121"/>
      <c r="AAE4" s="121"/>
      <c r="AAF4" s="121"/>
      <c r="AAG4" s="121"/>
      <c r="AAH4" s="121"/>
      <c r="AAI4" s="121"/>
      <c r="AAJ4" s="121"/>
      <c r="AAK4" s="121"/>
      <c r="AAL4" s="121"/>
      <c r="AAM4" s="121"/>
      <c r="AAN4" s="121"/>
      <c r="AAO4" s="121"/>
      <c r="AAP4" s="121"/>
      <c r="AAQ4" s="121"/>
      <c r="AAR4" s="121"/>
      <c r="AAS4" s="121"/>
      <c r="AAT4" s="121"/>
      <c r="AAU4" s="121"/>
      <c r="AAV4" s="121"/>
      <c r="AAW4" s="121"/>
      <c r="AAX4" s="121"/>
      <c r="AAY4" s="121"/>
      <c r="AAZ4" s="121"/>
      <c r="ABA4" s="121"/>
      <c r="ABB4" s="121"/>
      <c r="ABC4" s="121"/>
      <c r="ABD4" s="121"/>
      <c r="ABE4" s="121"/>
      <c r="ABF4" s="121"/>
      <c r="ABG4" s="121"/>
      <c r="ABH4" s="121"/>
      <c r="ABI4" s="121"/>
      <c r="ABJ4" s="121"/>
      <c r="ABK4" s="121"/>
      <c r="ABL4" s="121"/>
      <c r="ABM4" s="121"/>
      <c r="ABN4" s="121"/>
      <c r="ABO4" s="121"/>
      <c r="ABP4" s="121"/>
      <c r="ABQ4" s="121"/>
      <c r="ABR4" s="121"/>
      <c r="ABS4" s="121"/>
      <c r="ABT4" s="121"/>
      <c r="ABU4" s="121"/>
      <c r="ABV4" s="121"/>
      <c r="ABW4" s="121"/>
      <c r="ABX4" s="121"/>
      <c r="ABY4" s="121"/>
      <c r="ABZ4" s="121"/>
      <c r="ACA4" s="121"/>
      <c r="ACB4" s="121"/>
      <c r="ACC4" s="121"/>
      <c r="ACD4" s="121"/>
      <c r="ACE4" s="121"/>
      <c r="ACF4" s="121"/>
      <c r="ACG4" s="121"/>
      <c r="ACH4" s="121"/>
      <c r="ACI4" s="121"/>
      <c r="ACJ4" s="121"/>
      <c r="ACK4" s="121"/>
      <c r="ACL4" s="121"/>
      <c r="ACM4" s="121"/>
      <c r="ACN4" s="121"/>
      <c r="ACO4" s="121"/>
      <c r="ACP4" s="121"/>
      <c r="ACQ4" s="121"/>
      <c r="ACR4" s="121"/>
      <c r="ACS4" s="121"/>
      <c r="ACT4" s="121"/>
      <c r="ACU4" s="121"/>
      <c r="ACV4" s="121"/>
      <c r="ACW4" s="121"/>
      <c r="ACX4" s="121"/>
      <c r="ACY4" s="121"/>
      <c r="ACZ4" s="121"/>
      <c r="ADA4" s="121"/>
      <c r="ADB4" s="121"/>
      <c r="ADC4" s="121"/>
      <c r="ADD4" s="121"/>
      <c r="ADE4" s="121"/>
      <c r="ADF4" s="121"/>
      <c r="ADG4" s="121"/>
      <c r="ADH4" s="121"/>
      <c r="ADI4" s="121"/>
      <c r="ADJ4" s="121"/>
      <c r="ADK4" s="121"/>
      <c r="ADL4" s="121"/>
      <c r="ADM4" s="121"/>
      <c r="ADN4" s="121"/>
    </row>
    <row r="5" spans="1:794" s="299" customFormat="1" ht="48.75" customHeight="1" x14ac:dyDescent="0.5">
      <c r="A5" s="279">
        <v>1</v>
      </c>
      <c r="B5" s="280" t="s">
        <v>498</v>
      </c>
      <c r="C5" s="281">
        <v>201</v>
      </c>
      <c r="D5" s="282" t="s">
        <v>145</v>
      </c>
      <c r="E5" s="282" t="s">
        <v>146</v>
      </c>
      <c r="F5" s="220">
        <v>3336699724</v>
      </c>
      <c r="G5" s="165" t="s">
        <v>139</v>
      </c>
      <c r="H5" s="108">
        <v>8000</v>
      </c>
      <c r="I5" s="221">
        <v>0</v>
      </c>
      <c r="J5" s="225"/>
      <c r="K5" s="295">
        <f t="shared" ref="K5:K36" si="0">I5+J5+H5</f>
        <v>8000</v>
      </c>
      <c r="L5" s="280">
        <v>8000</v>
      </c>
      <c r="M5" s="109" t="s">
        <v>582</v>
      </c>
      <c r="N5" s="109"/>
      <c r="O5" s="109"/>
      <c r="P5" s="280"/>
      <c r="Q5" s="108"/>
      <c r="R5" s="108"/>
      <c r="S5" s="108"/>
      <c r="T5" s="280"/>
      <c r="U5" s="108"/>
      <c r="V5" s="108"/>
      <c r="W5" s="108"/>
      <c r="X5" s="280"/>
      <c r="Y5" s="108"/>
      <c r="Z5" s="108"/>
      <c r="AA5" s="109"/>
      <c r="AB5" s="108"/>
      <c r="AC5" s="280"/>
      <c r="AD5" s="280">
        <f t="shared" ref="AD5:AD9" si="1">L5+P5+T5+X5+AB5+N5+R5+V5+Z5</f>
        <v>8000</v>
      </c>
      <c r="AE5" s="280">
        <f t="shared" ref="AE5:AE9" si="2">AD5-K5</f>
        <v>0</v>
      </c>
      <c r="AF5" s="297"/>
      <c r="AG5" s="298"/>
      <c r="AI5" s="298"/>
    </row>
    <row r="6" spans="1:794" s="299" customFormat="1" ht="48.75" customHeight="1" x14ac:dyDescent="0.5">
      <c r="A6" s="279">
        <v>2</v>
      </c>
      <c r="B6" s="283" t="s">
        <v>498</v>
      </c>
      <c r="C6" s="284">
        <f t="shared" ref="C6:C37" si="3">C5+1</f>
        <v>202</v>
      </c>
      <c r="D6" s="285" t="s">
        <v>147</v>
      </c>
      <c r="E6" s="285" t="s">
        <v>148</v>
      </c>
      <c r="F6" s="131">
        <v>3408653449</v>
      </c>
      <c r="G6" s="130" t="s">
        <v>149</v>
      </c>
      <c r="H6" s="60">
        <v>8000</v>
      </c>
      <c r="I6" s="132">
        <v>18000</v>
      </c>
      <c r="J6" s="133"/>
      <c r="K6" s="296">
        <f t="shared" si="0"/>
        <v>26000</v>
      </c>
      <c r="L6" s="283">
        <v>8000</v>
      </c>
      <c r="M6" s="61" t="s">
        <v>587</v>
      </c>
      <c r="N6" s="61"/>
      <c r="O6" s="61"/>
      <c r="P6" s="283">
        <v>4500</v>
      </c>
      <c r="Q6" s="60" t="s">
        <v>861</v>
      </c>
      <c r="R6" s="60"/>
      <c r="S6" s="60"/>
      <c r="T6" s="283">
        <v>4500</v>
      </c>
      <c r="U6" s="60" t="s">
        <v>975</v>
      </c>
      <c r="V6" s="60"/>
      <c r="W6" s="60"/>
      <c r="X6" s="283">
        <v>4500</v>
      </c>
      <c r="Y6" s="60" t="s">
        <v>1102</v>
      </c>
      <c r="Z6" s="60"/>
      <c r="AA6" s="61"/>
      <c r="AB6" s="60"/>
      <c r="AC6" s="283"/>
      <c r="AD6" s="283">
        <f t="shared" si="1"/>
        <v>21500</v>
      </c>
      <c r="AE6" s="283">
        <f t="shared" si="2"/>
        <v>-4500</v>
      </c>
      <c r="AF6" s="300"/>
      <c r="AG6" s="298"/>
    </row>
    <row r="7" spans="1:794" s="299" customFormat="1" ht="48.75" customHeight="1" x14ac:dyDescent="0.5">
      <c r="A7" s="279">
        <v>3</v>
      </c>
      <c r="B7" s="283" t="s">
        <v>498</v>
      </c>
      <c r="C7" s="284">
        <f t="shared" si="3"/>
        <v>203</v>
      </c>
      <c r="D7" s="285" t="s">
        <v>150</v>
      </c>
      <c r="E7" s="285" t="s">
        <v>151</v>
      </c>
      <c r="F7" s="131">
        <v>3187018942</v>
      </c>
      <c r="G7" s="130" t="s">
        <v>139</v>
      </c>
      <c r="H7" s="60">
        <v>8000</v>
      </c>
      <c r="I7" s="132">
        <v>18000</v>
      </c>
      <c r="J7" s="133"/>
      <c r="K7" s="296">
        <f t="shared" si="0"/>
        <v>26000</v>
      </c>
      <c r="L7" s="283">
        <v>8000</v>
      </c>
      <c r="M7" s="61" t="s">
        <v>545</v>
      </c>
      <c r="N7" s="61"/>
      <c r="O7" s="61"/>
      <c r="P7" s="283">
        <v>4500</v>
      </c>
      <c r="Q7" s="60" t="s">
        <v>830</v>
      </c>
      <c r="R7" s="60"/>
      <c r="S7" s="60"/>
      <c r="T7" s="283">
        <v>4500</v>
      </c>
      <c r="U7" s="60">
        <v>928</v>
      </c>
      <c r="V7" s="60"/>
      <c r="W7" s="60"/>
      <c r="X7" s="283">
        <v>4500</v>
      </c>
      <c r="Y7" s="60" t="s">
        <v>1109</v>
      </c>
      <c r="Z7" s="60"/>
      <c r="AA7" s="61"/>
      <c r="AB7" s="60"/>
      <c r="AC7" s="283"/>
      <c r="AD7" s="283">
        <f t="shared" si="1"/>
        <v>21500</v>
      </c>
      <c r="AE7" s="283">
        <f t="shared" si="2"/>
        <v>-4500</v>
      </c>
      <c r="AF7" s="300"/>
      <c r="AG7" s="298"/>
      <c r="AH7" s="298"/>
    </row>
    <row r="8" spans="1:794" s="299" customFormat="1" ht="48.75" customHeight="1" x14ac:dyDescent="0.5">
      <c r="A8" s="279">
        <v>4</v>
      </c>
      <c r="B8" s="283" t="s">
        <v>498</v>
      </c>
      <c r="C8" s="284">
        <f t="shared" si="3"/>
        <v>204</v>
      </c>
      <c r="D8" s="286" t="s">
        <v>154</v>
      </c>
      <c r="E8" s="286" t="s">
        <v>155</v>
      </c>
      <c r="F8" s="131">
        <v>3036227655</v>
      </c>
      <c r="G8" s="130" t="s">
        <v>139</v>
      </c>
      <c r="H8" s="60">
        <v>8000</v>
      </c>
      <c r="I8" s="132">
        <v>25000</v>
      </c>
      <c r="J8" s="227"/>
      <c r="K8" s="296">
        <f t="shared" si="0"/>
        <v>33000</v>
      </c>
      <c r="L8" s="283"/>
      <c r="M8" s="61"/>
      <c r="N8" s="61"/>
      <c r="O8" s="61"/>
      <c r="P8" s="283"/>
      <c r="Q8" s="60"/>
      <c r="R8" s="60"/>
      <c r="S8" s="60"/>
      <c r="T8" s="283">
        <v>6250</v>
      </c>
      <c r="U8" s="60">
        <v>932</v>
      </c>
      <c r="V8" s="60"/>
      <c r="W8" s="60"/>
      <c r="X8" s="283"/>
      <c r="Y8" s="60"/>
      <c r="Z8" s="60"/>
      <c r="AA8" s="61"/>
      <c r="AB8" s="60"/>
      <c r="AC8" s="283"/>
      <c r="AD8" s="283">
        <f t="shared" si="1"/>
        <v>6250</v>
      </c>
      <c r="AE8" s="283">
        <f t="shared" si="2"/>
        <v>-26750</v>
      </c>
      <c r="AF8" s="300"/>
      <c r="AG8" s="298"/>
      <c r="AH8" s="298"/>
    </row>
    <row r="9" spans="1:794" s="299" customFormat="1" ht="48.75" customHeight="1" x14ac:dyDescent="0.5">
      <c r="A9" s="279">
        <v>5</v>
      </c>
      <c r="B9" s="283" t="s">
        <v>498</v>
      </c>
      <c r="C9" s="284">
        <f t="shared" si="3"/>
        <v>205</v>
      </c>
      <c r="D9" s="287" t="s">
        <v>156</v>
      </c>
      <c r="E9" s="287" t="s">
        <v>157</v>
      </c>
      <c r="F9" s="131">
        <v>3007667564</v>
      </c>
      <c r="G9" s="130" t="s">
        <v>19</v>
      </c>
      <c r="H9" s="60">
        <v>8000</v>
      </c>
      <c r="I9" s="132">
        <v>40200</v>
      </c>
      <c r="J9" s="227"/>
      <c r="K9" s="296">
        <f t="shared" si="0"/>
        <v>48200</v>
      </c>
      <c r="L9" s="283">
        <v>8000</v>
      </c>
      <c r="M9" s="61" t="s">
        <v>612</v>
      </c>
      <c r="N9" s="61"/>
      <c r="O9" s="61"/>
      <c r="P9" s="283">
        <f>8500+4000</f>
        <v>12500</v>
      </c>
      <c r="Q9" s="60" t="s">
        <v>906</v>
      </c>
      <c r="R9" s="60"/>
      <c r="S9" s="60"/>
      <c r="T9" s="283">
        <f>4500+4000+4000</f>
        <v>12500</v>
      </c>
      <c r="U9" s="60" t="s">
        <v>1178</v>
      </c>
      <c r="V9" s="60"/>
      <c r="W9" s="60"/>
      <c r="X9" s="283"/>
      <c r="Y9" s="60"/>
      <c r="Z9" s="60"/>
      <c r="AA9" s="61"/>
      <c r="AB9" s="60"/>
      <c r="AC9" s="283"/>
      <c r="AD9" s="283">
        <f t="shared" si="1"/>
        <v>33000</v>
      </c>
      <c r="AE9" s="283">
        <f t="shared" si="2"/>
        <v>-15200</v>
      </c>
      <c r="AF9" s="300"/>
      <c r="AG9" s="298"/>
      <c r="AH9" s="298"/>
    </row>
    <row r="10" spans="1:794" s="299" customFormat="1" ht="48.75" customHeight="1" x14ac:dyDescent="0.5">
      <c r="A10" s="279">
        <v>6</v>
      </c>
      <c r="B10" s="283" t="s">
        <v>498</v>
      </c>
      <c r="C10" s="284">
        <f t="shared" si="3"/>
        <v>206</v>
      </c>
      <c r="D10" s="285" t="s">
        <v>158</v>
      </c>
      <c r="E10" s="285" t="s">
        <v>159</v>
      </c>
      <c r="F10" s="131">
        <v>3134690929</v>
      </c>
      <c r="G10" s="130" t="s">
        <v>28</v>
      </c>
      <c r="H10" s="60">
        <v>8000</v>
      </c>
      <c r="I10" s="132">
        <v>40000</v>
      </c>
      <c r="J10" s="133"/>
      <c r="K10" s="296">
        <f t="shared" si="0"/>
        <v>48000</v>
      </c>
      <c r="L10" s="283">
        <v>8000</v>
      </c>
      <c r="M10" s="61" t="s">
        <v>634</v>
      </c>
      <c r="N10" s="61"/>
      <c r="O10" s="61"/>
      <c r="P10" s="283">
        <v>10000</v>
      </c>
      <c r="Q10" s="60" t="s">
        <v>808</v>
      </c>
      <c r="R10" s="60"/>
      <c r="S10" s="60"/>
      <c r="T10" s="283">
        <v>10000</v>
      </c>
      <c r="U10" s="60">
        <v>937</v>
      </c>
      <c r="V10" s="60"/>
      <c r="W10" s="60"/>
      <c r="X10" s="283">
        <v>10000</v>
      </c>
      <c r="Y10" s="60" t="s">
        <v>1110</v>
      </c>
      <c r="Z10" s="60"/>
      <c r="AA10" s="61"/>
      <c r="AB10" s="60"/>
      <c r="AC10" s="283"/>
      <c r="AD10" s="283">
        <f t="shared" ref="AD10:AD39" si="4">L10+P10+T10+X10+AB10+N10+R10+V10+Z10</f>
        <v>38000</v>
      </c>
      <c r="AE10" s="283">
        <f t="shared" ref="AE10:AE39" si="5">AD10-K10</f>
        <v>-10000</v>
      </c>
      <c r="AF10" s="300"/>
      <c r="AG10" s="298"/>
    </row>
    <row r="11" spans="1:794" s="299" customFormat="1" ht="48.75" customHeight="1" x14ac:dyDescent="0.5">
      <c r="A11" s="279">
        <v>7</v>
      </c>
      <c r="B11" s="283" t="s">
        <v>498</v>
      </c>
      <c r="C11" s="284">
        <f t="shared" si="3"/>
        <v>207</v>
      </c>
      <c r="D11" s="288" t="s">
        <v>160</v>
      </c>
      <c r="E11" s="285" t="s">
        <v>161</v>
      </c>
      <c r="F11" s="131"/>
      <c r="G11" s="130" t="s">
        <v>139</v>
      </c>
      <c r="H11" s="60">
        <v>8000</v>
      </c>
      <c r="I11" s="132">
        <v>40000</v>
      </c>
      <c r="J11" s="133"/>
      <c r="K11" s="296">
        <f t="shared" si="0"/>
        <v>48000</v>
      </c>
      <c r="L11" s="283">
        <v>8000</v>
      </c>
      <c r="M11" s="61" t="s">
        <v>749</v>
      </c>
      <c r="N11" s="61"/>
      <c r="O11" s="61"/>
      <c r="P11" s="283">
        <f>6000+5000</f>
        <v>11000</v>
      </c>
      <c r="Q11" s="60" t="s">
        <v>919</v>
      </c>
      <c r="R11" s="60"/>
      <c r="S11" s="60"/>
      <c r="T11" s="283">
        <v>5000</v>
      </c>
      <c r="U11" s="60" t="s">
        <v>977</v>
      </c>
      <c r="V11" s="60"/>
      <c r="W11" s="60"/>
      <c r="X11" s="283">
        <f>5000+5000</f>
        <v>10000</v>
      </c>
      <c r="Y11" s="60" t="s">
        <v>1119</v>
      </c>
      <c r="Z11" s="60"/>
      <c r="AA11" s="61"/>
      <c r="AB11" s="60"/>
      <c r="AC11" s="283"/>
      <c r="AD11" s="283">
        <f t="shared" si="4"/>
        <v>34000</v>
      </c>
      <c r="AE11" s="283">
        <f t="shared" si="5"/>
        <v>-14000</v>
      </c>
      <c r="AF11" s="300"/>
      <c r="AG11" s="298"/>
    </row>
    <row r="12" spans="1:794" s="299" customFormat="1" ht="48.75" customHeight="1" x14ac:dyDescent="0.5">
      <c r="A12" s="279">
        <v>8</v>
      </c>
      <c r="B12" s="283" t="s">
        <v>498</v>
      </c>
      <c r="C12" s="289">
        <f t="shared" si="3"/>
        <v>208</v>
      </c>
      <c r="D12" s="288" t="s">
        <v>162</v>
      </c>
      <c r="E12" s="285" t="s">
        <v>163</v>
      </c>
      <c r="F12" s="131"/>
      <c r="G12" s="130" t="s">
        <v>139</v>
      </c>
      <c r="H12" s="60">
        <v>8000</v>
      </c>
      <c r="I12" s="132">
        <v>25000</v>
      </c>
      <c r="J12" s="227"/>
      <c r="K12" s="296">
        <f t="shared" si="0"/>
        <v>33000</v>
      </c>
      <c r="L12" s="283">
        <v>8000</v>
      </c>
      <c r="M12" s="61" t="s">
        <v>710</v>
      </c>
      <c r="N12" s="61"/>
      <c r="O12" s="61"/>
      <c r="P12" s="283"/>
      <c r="Q12" s="60"/>
      <c r="R12" s="60"/>
      <c r="S12" s="60"/>
      <c r="T12" s="283"/>
      <c r="U12" s="60"/>
      <c r="V12" s="60"/>
      <c r="W12" s="60"/>
      <c r="X12" s="283"/>
      <c r="Y12" s="60"/>
      <c r="Z12" s="60"/>
      <c r="AA12" s="61"/>
      <c r="AB12" s="60"/>
      <c r="AC12" s="283"/>
      <c r="AD12" s="283">
        <f t="shared" si="4"/>
        <v>8000</v>
      </c>
      <c r="AE12" s="283">
        <f t="shared" si="5"/>
        <v>-25000</v>
      </c>
      <c r="AF12" s="300"/>
      <c r="AG12" s="298"/>
    </row>
    <row r="13" spans="1:794" s="299" customFormat="1" ht="48.75" customHeight="1" x14ac:dyDescent="0.5">
      <c r="A13" s="279">
        <v>9</v>
      </c>
      <c r="B13" s="283" t="s">
        <v>498</v>
      </c>
      <c r="C13" s="284">
        <f t="shared" si="3"/>
        <v>209</v>
      </c>
      <c r="D13" s="288" t="s">
        <v>164</v>
      </c>
      <c r="E13" s="285" t="s">
        <v>165</v>
      </c>
      <c r="F13" s="131">
        <v>3026004748</v>
      </c>
      <c r="G13" s="130" t="s">
        <v>28</v>
      </c>
      <c r="H13" s="60">
        <v>8000</v>
      </c>
      <c r="I13" s="132">
        <v>29000</v>
      </c>
      <c r="J13" s="133"/>
      <c r="K13" s="296">
        <f t="shared" si="0"/>
        <v>37000</v>
      </c>
      <c r="L13" s="283">
        <v>8000</v>
      </c>
      <c r="M13" s="61" t="s">
        <v>667</v>
      </c>
      <c r="N13" s="61"/>
      <c r="O13" s="61"/>
      <c r="P13" s="283">
        <v>7250</v>
      </c>
      <c r="Q13" s="60" t="s">
        <v>821</v>
      </c>
      <c r="R13" s="60"/>
      <c r="S13" s="60"/>
      <c r="T13" s="283">
        <v>7250</v>
      </c>
      <c r="U13" s="60" t="s">
        <v>988</v>
      </c>
      <c r="V13" s="60"/>
      <c r="W13" s="60"/>
      <c r="X13" s="283">
        <v>7250</v>
      </c>
      <c r="Y13" s="60" t="s">
        <v>1087</v>
      </c>
      <c r="Z13" s="60"/>
      <c r="AA13" s="61"/>
      <c r="AB13" s="60"/>
      <c r="AC13" s="283"/>
      <c r="AD13" s="283">
        <f t="shared" si="4"/>
        <v>29750</v>
      </c>
      <c r="AE13" s="283">
        <f t="shared" si="5"/>
        <v>-7250</v>
      </c>
      <c r="AF13" s="300"/>
      <c r="AG13" s="298"/>
    </row>
    <row r="14" spans="1:794" s="299" customFormat="1" ht="48.75" customHeight="1" x14ac:dyDescent="0.5">
      <c r="A14" s="279">
        <v>10</v>
      </c>
      <c r="B14" s="283" t="s">
        <v>498</v>
      </c>
      <c r="C14" s="289">
        <f t="shared" si="3"/>
        <v>210</v>
      </c>
      <c r="D14" s="288" t="s">
        <v>166</v>
      </c>
      <c r="E14" s="285" t="s">
        <v>161</v>
      </c>
      <c r="F14" s="131">
        <v>3167571109</v>
      </c>
      <c r="G14" s="130" t="s">
        <v>19</v>
      </c>
      <c r="H14" s="60">
        <v>8000</v>
      </c>
      <c r="I14" s="132">
        <v>40000</v>
      </c>
      <c r="J14" s="227"/>
      <c r="K14" s="296">
        <f t="shared" si="0"/>
        <v>48000</v>
      </c>
      <c r="L14" s="283">
        <v>8000</v>
      </c>
      <c r="M14" s="61" t="s">
        <v>663</v>
      </c>
      <c r="N14" s="61"/>
      <c r="O14" s="61"/>
      <c r="P14" s="283">
        <v>10000</v>
      </c>
      <c r="Q14" s="60" t="s">
        <v>871</v>
      </c>
      <c r="R14" s="60"/>
      <c r="S14" s="60"/>
      <c r="T14" s="283">
        <v>10000</v>
      </c>
      <c r="U14" s="60" t="s">
        <v>1045</v>
      </c>
      <c r="V14" s="60"/>
      <c r="W14" s="60"/>
      <c r="X14" s="283"/>
      <c r="Y14" s="60"/>
      <c r="Z14" s="60"/>
      <c r="AA14" s="61"/>
      <c r="AB14" s="60"/>
      <c r="AC14" s="283"/>
      <c r="AD14" s="283">
        <f t="shared" si="4"/>
        <v>28000</v>
      </c>
      <c r="AE14" s="283">
        <f t="shared" si="5"/>
        <v>-20000</v>
      </c>
      <c r="AF14" s="300"/>
      <c r="AG14" s="298"/>
    </row>
    <row r="15" spans="1:794" s="299" customFormat="1" ht="48.75" customHeight="1" x14ac:dyDescent="0.5">
      <c r="A15" s="279">
        <v>11</v>
      </c>
      <c r="B15" s="283" t="s">
        <v>498</v>
      </c>
      <c r="C15" s="284">
        <f t="shared" si="3"/>
        <v>211</v>
      </c>
      <c r="D15" s="285" t="s">
        <v>167</v>
      </c>
      <c r="E15" s="285" t="s">
        <v>168</v>
      </c>
      <c r="F15" s="131">
        <v>3446962377</v>
      </c>
      <c r="G15" s="130" t="s">
        <v>21</v>
      </c>
      <c r="H15" s="60">
        <v>8000</v>
      </c>
      <c r="I15" s="132">
        <v>40200</v>
      </c>
      <c r="J15" s="133"/>
      <c r="K15" s="296">
        <f t="shared" si="0"/>
        <v>48200</v>
      </c>
      <c r="L15" s="283">
        <v>8000</v>
      </c>
      <c r="M15" s="61" t="s">
        <v>569</v>
      </c>
      <c r="N15" s="61"/>
      <c r="O15" s="61"/>
      <c r="P15" s="283">
        <v>10050</v>
      </c>
      <c r="Q15" s="60" t="s">
        <v>846</v>
      </c>
      <c r="R15" s="60"/>
      <c r="S15" s="60"/>
      <c r="T15" s="283">
        <v>10050</v>
      </c>
      <c r="U15" s="60">
        <v>938</v>
      </c>
      <c r="V15" s="60"/>
      <c r="W15" s="60"/>
      <c r="X15" s="283">
        <v>10050</v>
      </c>
      <c r="Y15" s="60" t="s">
        <v>1103</v>
      </c>
      <c r="Z15" s="60"/>
      <c r="AA15" s="61"/>
      <c r="AB15" s="60"/>
      <c r="AC15" s="283"/>
      <c r="AD15" s="283">
        <f t="shared" si="4"/>
        <v>38150</v>
      </c>
      <c r="AE15" s="283">
        <f t="shared" si="5"/>
        <v>-10050</v>
      </c>
      <c r="AF15" s="300"/>
      <c r="AG15" s="298"/>
    </row>
    <row r="16" spans="1:794" s="299" customFormat="1" ht="48.75" customHeight="1" x14ac:dyDescent="0.5">
      <c r="A16" s="279">
        <v>12</v>
      </c>
      <c r="B16" s="283" t="s">
        <v>498</v>
      </c>
      <c r="C16" s="284">
        <f t="shared" si="3"/>
        <v>212</v>
      </c>
      <c r="D16" s="290" t="s">
        <v>169</v>
      </c>
      <c r="E16" s="290" t="s">
        <v>170</v>
      </c>
      <c r="F16" s="131">
        <v>3427817465</v>
      </c>
      <c r="G16" s="130" t="s">
        <v>171</v>
      </c>
      <c r="H16" s="60">
        <v>8000</v>
      </c>
      <c r="I16" s="132">
        <v>36000</v>
      </c>
      <c r="J16" s="133"/>
      <c r="K16" s="296">
        <f t="shared" si="0"/>
        <v>44000</v>
      </c>
      <c r="L16" s="283">
        <v>8000</v>
      </c>
      <c r="M16" s="61" t="s">
        <v>628</v>
      </c>
      <c r="N16" s="61"/>
      <c r="O16" s="61"/>
      <c r="P16" s="283">
        <v>8000</v>
      </c>
      <c r="Q16" s="60" t="s">
        <v>872</v>
      </c>
      <c r="R16" s="60"/>
      <c r="S16" s="60"/>
      <c r="T16" s="283">
        <v>9330</v>
      </c>
      <c r="U16" s="60">
        <v>944</v>
      </c>
      <c r="V16" s="60"/>
      <c r="W16" s="60"/>
      <c r="X16" s="283">
        <v>10000</v>
      </c>
      <c r="Y16" s="60" t="s">
        <v>1136</v>
      </c>
      <c r="Z16" s="60"/>
      <c r="AA16" s="61"/>
      <c r="AB16" s="60"/>
      <c r="AC16" s="283"/>
      <c r="AD16" s="283">
        <f t="shared" si="4"/>
        <v>35330</v>
      </c>
      <c r="AE16" s="283">
        <f t="shared" si="5"/>
        <v>-8670</v>
      </c>
      <c r="AF16" s="300"/>
      <c r="AG16" s="298"/>
    </row>
    <row r="17" spans="1:33" s="299" customFormat="1" ht="48.75" customHeight="1" x14ac:dyDescent="0.5">
      <c r="A17" s="279">
        <v>13</v>
      </c>
      <c r="B17" s="283" t="s">
        <v>498</v>
      </c>
      <c r="C17" s="284">
        <f t="shared" si="3"/>
        <v>213</v>
      </c>
      <c r="D17" s="288" t="s">
        <v>172</v>
      </c>
      <c r="E17" s="285" t="s">
        <v>173</v>
      </c>
      <c r="F17" s="131">
        <v>3240849615</v>
      </c>
      <c r="G17" s="130" t="s">
        <v>18</v>
      </c>
      <c r="H17" s="60">
        <v>8000</v>
      </c>
      <c r="I17" s="132">
        <v>32000</v>
      </c>
      <c r="J17" s="133"/>
      <c r="K17" s="296">
        <f t="shared" si="0"/>
        <v>40000</v>
      </c>
      <c r="L17" s="283">
        <v>8000</v>
      </c>
      <c r="M17" s="61" t="s">
        <v>660</v>
      </c>
      <c r="N17" s="61"/>
      <c r="O17" s="61"/>
      <c r="P17" s="283">
        <f>8000+8000</f>
        <v>16000</v>
      </c>
      <c r="Q17" s="60" t="s">
        <v>904</v>
      </c>
      <c r="R17" s="60"/>
      <c r="S17" s="60"/>
      <c r="T17" s="283">
        <v>5000</v>
      </c>
      <c r="U17" s="60" t="s">
        <v>990</v>
      </c>
      <c r="V17" s="60"/>
      <c r="W17" s="60"/>
      <c r="X17" s="283">
        <f>5500+5500</f>
        <v>11000</v>
      </c>
      <c r="Y17" s="60" t="s">
        <v>1188</v>
      </c>
      <c r="Z17" s="60"/>
      <c r="AA17" s="61"/>
      <c r="AB17" s="60"/>
      <c r="AC17" s="283"/>
      <c r="AD17" s="283">
        <f t="shared" si="4"/>
        <v>40000</v>
      </c>
      <c r="AE17" s="283">
        <f t="shared" si="5"/>
        <v>0</v>
      </c>
      <c r="AF17" s="300"/>
      <c r="AG17" s="298"/>
    </row>
    <row r="18" spans="1:33" s="299" customFormat="1" ht="48.75" customHeight="1" x14ac:dyDescent="0.5">
      <c r="A18" s="279">
        <v>14</v>
      </c>
      <c r="B18" s="283" t="s">
        <v>498</v>
      </c>
      <c r="C18" s="289">
        <f t="shared" si="3"/>
        <v>214</v>
      </c>
      <c r="D18" s="285" t="s">
        <v>100</v>
      </c>
      <c r="E18" s="285" t="s">
        <v>174</v>
      </c>
      <c r="F18" s="131">
        <v>3067909875</v>
      </c>
      <c r="G18" s="130" t="s">
        <v>139</v>
      </c>
      <c r="H18" s="60">
        <v>8000</v>
      </c>
      <c r="I18" s="132">
        <v>32000</v>
      </c>
      <c r="J18" s="133"/>
      <c r="K18" s="296">
        <f t="shared" si="0"/>
        <v>40000</v>
      </c>
      <c r="L18" s="283">
        <v>8000</v>
      </c>
      <c r="M18" s="61" t="s">
        <v>577</v>
      </c>
      <c r="N18" s="61"/>
      <c r="O18" s="61"/>
      <c r="P18" s="283">
        <v>8000</v>
      </c>
      <c r="Q18" s="60" t="s">
        <v>835</v>
      </c>
      <c r="R18" s="60"/>
      <c r="S18" s="60"/>
      <c r="T18" s="283">
        <v>8000</v>
      </c>
      <c r="U18" s="60" t="s">
        <v>1171</v>
      </c>
      <c r="V18" s="60"/>
      <c r="W18" s="60"/>
      <c r="X18" s="283">
        <v>8000</v>
      </c>
      <c r="Y18" s="60" t="s">
        <v>1104</v>
      </c>
      <c r="Z18" s="60"/>
      <c r="AA18" s="61"/>
      <c r="AB18" s="60"/>
      <c r="AC18" s="283"/>
      <c r="AD18" s="283">
        <f t="shared" si="4"/>
        <v>32000</v>
      </c>
      <c r="AE18" s="283">
        <f t="shared" si="5"/>
        <v>-8000</v>
      </c>
      <c r="AF18" s="300"/>
      <c r="AG18" s="298"/>
    </row>
    <row r="19" spans="1:33" s="299" customFormat="1" ht="48.75" customHeight="1" x14ac:dyDescent="0.5">
      <c r="A19" s="279">
        <v>15</v>
      </c>
      <c r="B19" s="283" t="s">
        <v>498</v>
      </c>
      <c r="C19" s="284">
        <f t="shared" si="3"/>
        <v>215</v>
      </c>
      <c r="D19" s="286" t="s">
        <v>175</v>
      </c>
      <c r="E19" s="285" t="s">
        <v>176</v>
      </c>
      <c r="F19" s="131">
        <v>3064849043</v>
      </c>
      <c r="G19" s="130" t="s">
        <v>29</v>
      </c>
      <c r="H19" s="60">
        <v>8000</v>
      </c>
      <c r="I19" s="132">
        <v>32000</v>
      </c>
      <c r="J19" s="227"/>
      <c r="K19" s="296">
        <f t="shared" si="0"/>
        <v>40000</v>
      </c>
      <c r="L19" s="283">
        <v>8000</v>
      </c>
      <c r="M19" s="61" t="s">
        <v>629</v>
      </c>
      <c r="N19" s="61"/>
      <c r="O19" s="61"/>
      <c r="P19" s="283"/>
      <c r="Q19" s="60"/>
      <c r="R19" s="60"/>
      <c r="S19" s="60"/>
      <c r="T19" s="283">
        <v>8000</v>
      </c>
      <c r="U19" s="60" t="s">
        <v>994</v>
      </c>
      <c r="V19" s="60"/>
      <c r="W19" s="60"/>
      <c r="X19" s="283"/>
      <c r="Y19" s="60"/>
      <c r="Z19" s="60"/>
      <c r="AA19" s="61"/>
      <c r="AB19" s="60"/>
      <c r="AC19" s="283"/>
      <c r="AD19" s="283">
        <f t="shared" si="4"/>
        <v>16000</v>
      </c>
      <c r="AE19" s="283">
        <f t="shared" si="5"/>
        <v>-24000</v>
      </c>
      <c r="AF19" s="300"/>
      <c r="AG19" s="298"/>
    </row>
    <row r="20" spans="1:33" s="299" customFormat="1" ht="48.75" customHeight="1" x14ac:dyDescent="0.5">
      <c r="A20" s="279">
        <v>16</v>
      </c>
      <c r="B20" s="283" t="s">
        <v>498</v>
      </c>
      <c r="C20" s="284">
        <f t="shared" si="3"/>
        <v>216</v>
      </c>
      <c r="D20" s="285" t="s">
        <v>177</v>
      </c>
      <c r="E20" s="285" t="s">
        <v>178</v>
      </c>
      <c r="F20" s="131">
        <v>3007912269</v>
      </c>
      <c r="G20" s="130" t="s">
        <v>139</v>
      </c>
      <c r="H20" s="60">
        <v>8000</v>
      </c>
      <c r="I20" s="132">
        <v>40200</v>
      </c>
      <c r="J20" s="133"/>
      <c r="K20" s="296">
        <f t="shared" si="0"/>
        <v>48200</v>
      </c>
      <c r="L20" s="283">
        <v>8000</v>
      </c>
      <c r="M20" s="61" t="s">
        <v>539</v>
      </c>
      <c r="N20" s="61"/>
      <c r="O20" s="61"/>
      <c r="P20" s="283">
        <v>6000</v>
      </c>
      <c r="Q20" s="60" t="s">
        <v>853</v>
      </c>
      <c r="R20" s="60"/>
      <c r="S20" s="60"/>
      <c r="T20" s="283">
        <f>4500+5000</f>
        <v>9500</v>
      </c>
      <c r="U20" s="60" t="s">
        <v>1010</v>
      </c>
      <c r="V20" s="60"/>
      <c r="W20" s="60"/>
      <c r="X20" s="283">
        <f>5000+5000+5000</f>
        <v>15000</v>
      </c>
      <c r="Y20" s="60" t="s">
        <v>1123</v>
      </c>
      <c r="Z20" s="60"/>
      <c r="AA20" s="61"/>
      <c r="AB20" s="60"/>
      <c r="AC20" s="283"/>
      <c r="AD20" s="283">
        <f t="shared" si="4"/>
        <v>38500</v>
      </c>
      <c r="AE20" s="283">
        <f t="shared" si="5"/>
        <v>-9700</v>
      </c>
      <c r="AF20" s="300"/>
      <c r="AG20" s="298"/>
    </row>
    <row r="21" spans="1:33" s="299" customFormat="1" ht="48.75" customHeight="1" x14ac:dyDescent="0.5">
      <c r="A21" s="279">
        <v>17</v>
      </c>
      <c r="B21" s="283" t="s">
        <v>498</v>
      </c>
      <c r="C21" s="289">
        <f t="shared" si="3"/>
        <v>217</v>
      </c>
      <c r="D21" s="290" t="s">
        <v>179</v>
      </c>
      <c r="E21" s="290" t="s">
        <v>85</v>
      </c>
      <c r="F21" s="131">
        <v>3177030465</v>
      </c>
      <c r="G21" s="131" t="s">
        <v>28</v>
      </c>
      <c r="H21" s="60">
        <v>8000</v>
      </c>
      <c r="I21" s="132">
        <v>32000</v>
      </c>
      <c r="J21" s="133"/>
      <c r="K21" s="296">
        <f t="shared" si="0"/>
        <v>40000</v>
      </c>
      <c r="L21" s="283">
        <v>8000</v>
      </c>
      <c r="M21" s="61" t="s">
        <v>610</v>
      </c>
      <c r="N21" s="61"/>
      <c r="O21" s="61"/>
      <c r="P21" s="283">
        <v>8000</v>
      </c>
      <c r="Q21" s="60" t="s">
        <v>912</v>
      </c>
      <c r="R21" s="60"/>
      <c r="S21" s="60"/>
      <c r="T21" s="283">
        <v>8000</v>
      </c>
      <c r="U21" s="60" t="s">
        <v>1060</v>
      </c>
      <c r="V21" s="60"/>
      <c r="W21" s="60"/>
      <c r="X21" s="283">
        <v>8000</v>
      </c>
      <c r="Y21" s="60" t="s">
        <v>1131</v>
      </c>
      <c r="Z21" s="60"/>
      <c r="AA21" s="61"/>
      <c r="AB21" s="60"/>
      <c r="AC21" s="283"/>
      <c r="AD21" s="283">
        <f t="shared" si="4"/>
        <v>32000</v>
      </c>
      <c r="AE21" s="283">
        <f t="shared" si="5"/>
        <v>-8000</v>
      </c>
      <c r="AF21" s="300"/>
      <c r="AG21" s="298"/>
    </row>
    <row r="22" spans="1:33" s="299" customFormat="1" ht="48.75" customHeight="1" x14ac:dyDescent="0.5">
      <c r="A22" s="279">
        <v>18</v>
      </c>
      <c r="B22" s="283" t="s">
        <v>498</v>
      </c>
      <c r="C22" s="284">
        <f t="shared" si="3"/>
        <v>218</v>
      </c>
      <c r="D22" s="288" t="s">
        <v>180</v>
      </c>
      <c r="E22" s="285" t="s">
        <v>181</v>
      </c>
      <c r="F22" s="131">
        <v>3447635457</v>
      </c>
      <c r="G22" s="130" t="s">
        <v>182</v>
      </c>
      <c r="H22" s="60">
        <v>8000</v>
      </c>
      <c r="I22" s="132">
        <v>22000</v>
      </c>
      <c r="J22" s="227">
        <v>50000</v>
      </c>
      <c r="K22" s="296">
        <f t="shared" si="0"/>
        <v>80000</v>
      </c>
      <c r="L22" s="283">
        <v>8000</v>
      </c>
      <c r="M22" s="61" t="s">
        <v>595</v>
      </c>
      <c r="N22" s="61"/>
      <c r="O22" s="61"/>
      <c r="P22" s="283">
        <v>8000</v>
      </c>
      <c r="Q22" s="60" t="s">
        <v>862</v>
      </c>
      <c r="R22" s="60"/>
      <c r="S22" s="60"/>
      <c r="T22" s="283">
        <v>8000</v>
      </c>
      <c r="U22" s="60">
        <v>947</v>
      </c>
      <c r="V22" s="60"/>
      <c r="W22" s="60"/>
      <c r="X22" s="283"/>
      <c r="Y22" s="60"/>
      <c r="Z22" s="60"/>
      <c r="AA22" s="61"/>
      <c r="AB22" s="60"/>
      <c r="AC22" s="283"/>
      <c r="AD22" s="283">
        <f t="shared" si="4"/>
        <v>24000</v>
      </c>
      <c r="AE22" s="283">
        <f t="shared" si="5"/>
        <v>-56000</v>
      </c>
      <c r="AF22" s="300"/>
      <c r="AG22" s="298"/>
    </row>
    <row r="23" spans="1:33" s="299" customFormat="1" ht="48.75" customHeight="1" x14ac:dyDescent="0.5">
      <c r="A23" s="279">
        <v>19</v>
      </c>
      <c r="B23" s="283" t="s">
        <v>498</v>
      </c>
      <c r="C23" s="284">
        <f t="shared" si="3"/>
        <v>219</v>
      </c>
      <c r="D23" s="286" t="s">
        <v>183</v>
      </c>
      <c r="E23" s="286" t="s">
        <v>184</v>
      </c>
      <c r="F23" s="131"/>
      <c r="G23" s="130" t="s">
        <v>19</v>
      </c>
      <c r="H23" s="60">
        <v>8000</v>
      </c>
      <c r="I23" s="132">
        <v>40000</v>
      </c>
      <c r="J23" s="133"/>
      <c r="K23" s="296">
        <f t="shared" si="0"/>
        <v>48000</v>
      </c>
      <c r="L23" s="283">
        <v>8000</v>
      </c>
      <c r="M23" s="61" t="s">
        <v>743</v>
      </c>
      <c r="N23" s="61"/>
      <c r="O23" s="61"/>
      <c r="P23" s="283">
        <f>5000+5000</f>
        <v>10000</v>
      </c>
      <c r="Q23" s="60" t="s">
        <v>902</v>
      </c>
      <c r="R23" s="62"/>
      <c r="S23" s="60"/>
      <c r="T23" s="283">
        <v>5000</v>
      </c>
      <c r="U23" s="60" t="s">
        <v>966</v>
      </c>
      <c r="V23" s="60"/>
      <c r="W23" s="60"/>
      <c r="X23" s="283">
        <f>5000+5000</f>
        <v>10000</v>
      </c>
      <c r="Y23" s="60" t="s">
        <v>1081</v>
      </c>
      <c r="Z23" s="60"/>
      <c r="AA23" s="61"/>
      <c r="AB23" s="60"/>
      <c r="AC23" s="283"/>
      <c r="AD23" s="283">
        <f t="shared" si="4"/>
        <v>33000</v>
      </c>
      <c r="AE23" s="283">
        <f t="shared" si="5"/>
        <v>-15000</v>
      </c>
      <c r="AF23" s="300"/>
      <c r="AG23" s="298"/>
    </row>
    <row r="24" spans="1:33" s="299" customFormat="1" ht="48.75" customHeight="1" x14ac:dyDescent="0.5">
      <c r="A24" s="279">
        <v>20</v>
      </c>
      <c r="B24" s="283" t="s">
        <v>498</v>
      </c>
      <c r="C24" s="284">
        <f t="shared" si="3"/>
        <v>220</v>
      </c>
      <c r="D24" s="286" t="s">
        <v>185</v>
      </c>
      <c r="E24" s="285" t="s">
        <v>186</v>
      </c>
      <c r="F24" s="131">
        <v>3349666605</v>
      </c>
      <c r="G24" s="130" t="s">
        <v>142</v>
      </c>
      <c r="H24" s="60">
        <v>8000</v>
      </c>
      <c r="I24" s="132">
        <v>22000</v>
      </c>
      <c r="J24" s="133">
        <v>50000</v>
      </c>
      <c r="K24" s="296">
        <f t="shared" si="0"/>
        <v>80000</v>
      </c>
      <c r="L24" s="283">
        <v>8000</v>
      </c>
      <c r="M24" s="61" t="s">
        <v>669</v>
      </c>
      <c r="N24" s="61"/>
      <c r="O24" s="61"/>
      <c r="P24" s="283">
        <v>10000</v>
      </c>
      <c r="Q24" s="60" t="s">
        <v>825</v>
      </c>
      <c r="R24" s="60"/>
      <c r="S24" s="60"/>
      <c r="T24" s="283">
        <v>5000</v>
      </c>
      <c r="U24" s="60" t="s">
        <v>1003</v>
      </c>
      <c r="V24" s="60"/>
      <c r="W24" s="60"/>
      <c r="X24" s="283">
        <v>5000</v>
      </c>
      <c r="Y24" s="60" t="s">
        <v>1116</v>
      </c>
      <c r="Z24" s="60">
        <v>12000</v>
      </c>
      <c r="AA24" s="61"/>
      <c r="AB24" s="60"/>
      <c r="AC24" s="283"/>
      <c r="AD24" s="283">
        <f t="shared" si="4"/>
        <v>40000</v>
      </c>
      <c r="AE24" s="283">
        <f t="shared" si="5"/>
        <v>-40000</v>
      </c>
      <c r="AF24" s="300"/>
      <c r="AG24" s="298"/>
    </row>
    <row r="25" spans="1:33" s="299" customFormat="1" ht="48.75" customHeight="1" x14ac:dyDescent="0.5">
      <c r="A25" s="279">
        <v>21</v>
      </c>
      <c r="B25" s="283" t="s">
        <v>498</v>
      </c>
      <c r="C25" s="289">
        <f t="shared" si="3"/>
        <v>221</v>
      </c>
      <c r="D25" s="288" t="s">
        <v>187</v>
      </c>
      <c r="E25" s="285" t="s">
        <v>188</v>
      </c>
      <c r="F25" s="131">
        <v>3004677141</v>
      </c>
      <c r="G25" s="131" t="s">
        <v>139</v>
      </c>
      <c r="H25" s="60">
        <v>8000</v>
      </c>
      <c r="I25" s="132">
        <v>42000</v>
      </c>
      <c r="J25" s="227"/>
      <c r="K25" s="296">
        <f t="shared" si="0"/>
        <v>50000</v>
      </c>
      <c r="L25" s="283">
        <v>5000</v>
      </c>
      <c r="M25" s="61" t="s">
        <v>607</v>
      </c>
      <c r="N25" s="61"/>
      <c r="O25" s="61"/>
      <c r="P25" s="283">
        <v>7000</v>
      </c>
      <c r="Q25" s="60" t="s">
        <v>854</v>
      </c>
      <c r="R25" s="60"/>
      <c r="S25" s="60"/>
      <c r="T25" s="283">
        <v>12500</v>
      </c>
      <c r="U25" s="60" t="s">
        <v>1056</v>
      </c>
      <c r="V25" s="60"/>
      <c r="W25" s="60"/>
      <c r="X25" s="283"/>
      <c r="Y25" s="60"/>
      <c r="Z25" s="60"/>
      <c r="AA25" s="61"/>
      <c r="AB25" s="60"/>
      <c r="AC25" s="283"/>
      <c r="AD25" s="283">
        <f t="shared" si="4"/>
        <v>24500</v>
      </c>
      <c r="AE25" s="283">
        <f t="shared" si="5"/>
        <v>-25500</v>
      </c>
      <c r="AF25" s="300"/>
      <c r="AG25" s="298"/>
    </row>
    <row r="26" spans="1:33" s="299" customFormat="1" ht="48.75" customHeight="1" x14ac:dyDescent="0.5">
      <c r="A26" s="279">
        <v>22</v>
      </c>
      <c r="B26" s="283" t="s">
        <v>498</v>
      </c>
      <c r="C26" s="289">
        <f t="shared" si="3"/>
        <v>222</v>
      </c>
      <c r="D26" s="288" t="s">
        <v>189</v>
      </c>
      <c r="E26" s="285" t="s">
        <v>190</v>
      </c>
      <c r="F26" s="131">
        <v>3128347080</v>
      </c>
      <c r="G26" s="130" t="s">
        <v>141</v>
      </c>
      <c r="H26" s="60">
        <v>8000</v>
      </c>
      <c r="I26" s="132">
        <v>22000</v>
      </c>
      <c r="J26" s="227">
        <v>50000</v>
      </c>
      <c r="K26" s="296">
        <f t="shared" si="0"/>
        <v>80000</v>
      </c>
      <c r="L26" s="283">
        <v>8000</v>
      </c>
      <c r="M26" s="61" t="s">
        <v>751</v>
      </c>
      <c r="N26" s="61"/>
      <c r="O26" s="61"/>
      <c r="P26" s="283">
        <v>8000</v>
      </c>
      <c r="Q26" s="60" t="s">
        <v>928</v>
      </c>
      <c r="R26" s="60">
        <v>18000</v>
      </c>
      <c r="S26" s="60"/>
      <c r="T26" s="283">
        <v>6000</v>
      </c>
      <c r="U26" s="60" t="s">
        <v>1167</v>
      </c>
      <c r="V26" s="60"/>
      <c r="W26" s="60"/>
      <c r="X26" s="283"/>
      <c r="Y26" s="60"/>
      <c r="Z26" s="60"/>
      <c r="AA26" s="61"/>
      <c r="AB26" s="60"/>
      <c r="AC26" s="283"/>
      <c r="AD26" s="283">
        <f t="shared" si="4"/>
        <v>40000</v>
      </c>
      <c r="AE26" s="283">
        <f t="shared" si="5"/>
        <v>-40000</v>
      </c>
      <c r="AF26" s="300"/>
      <c r="AG26" s="298"/>
    </row>
    <row r="27" spans="1:33" s="299" customFormat="1" ht="48.75" customHeight="1" x14ac:dyDescent="0.5">
      <c r="A27" s="279">
        <v>23</v>
      </c>
      <c r="B27" s="283" t="s">
        <v>498</v>
      </c>
      <c r="C27" s="289">
        <f t="shared" si="3"/>
        <v>223</v>
      </c>
      <c r="D27" s="290" t="s">
        <v>191</v>
      </c>
      <c r="E27" s="290" t="s">
        <v>192</v>
      </c>
      <c r="F27" s="131">
        <v>3074671122</v>
      </c>
      <c r="G27" s="130" t="s">
        <v>21</v>
      </c>
      <c r="H27" s="60">
        <v>8000</v>
      </c>
      <c r="I27" s="132">
        <v>32000</v>
      </c>
      <c r="J27" s="227"/>
      <c r="K27" s="296">
        <f t="shared" si="0"/>
        <v>40000</v>
      </c>
      <c r="L27" s="283">
        <v>8000</v>
      </c>
      <c r="M27" s="61" t="s">
        <v>729</v>
      </c>
      <c r="N27" s="61"/>
      <c r="O27" s="61"/>
      <c r="P27" s="283"/>
      <c r="Q27" s="60"/>
      <c r="R27" s="60"/>
      <c r="S27" s="60"/>
      <c r="T27" s="283"/>
      <c r="U27" s="60"/>
      <c r="V27" s="60"/>
      <c r="W27" s="60"/>
      <c r="X27" s="283"/>
      <c r="Y27" s="60"/>
      <c r="Z27" s="60"/>
      <c r="AA27" s="61"/>
      <c r="AB27" s="60"/>
      <c r="AC27" s="283"/>
      <c r="AD27" s="283">
        <f t="shared" si="4"/>
        <v>8000</v>
      </c>
      <c r="AE27" s="283">
        <f t="shared" si="5"/>
        <v>-32000</v>
      </c>
      <c r="AF27" s="300"/>
      <c r="AG27" s="298"/>
    </row>
    <row r="28" spans="1:33" s="299" customFormat="1" ht="48.75" customHeight="1" x14ac:dyDescent="0.5">
      <c r="A28" s="279">
        <v>24</v>
      </c>
      <c r="B28" s="283" t="s">
        <v>498</v>
      </c>
      <c r="C28" s="289">
        <f t="shared" si="3"/>
        <v>224</v>
      </c>
      <c r="D28" s="285" t="s">
        <v>193</v>
      </c>
      <c r="E28" s="285" t="s">
        <v>194</v>
      </c>
      <c r="F28" s="131">
        <v>3047257635</v>
      </c>
      <c r="G28" s="130" t="s">
        <v>21</v>
      </c>
      <c r="H28" s="60">
        <v>8000</v>
      </c>
      <c r="I28" s="132">
        <v>36000</v>
      </c>
      <c r="J28" s="227"/>
      <c r="K28" s="296">
        <f t="shared" si="0"/>
        <v>44000</v>
      </c>
      <c r="L28" s="283">
        <v>8000</v>
      </c>
      <c r="M28" s="61" t="s">
        <v>553</v>
      </c>
      <c r="N28" s="61"/>
      <c r="O28" s="61"/>
      <c r="P28" s="283">
        <v>18000</v>
      </c>
      <c r="Q28" s="60" t="s">
        <v>805</v>
      </c>
      <c r="R28" s="60"/>
      <c r="S28" s="60"/>
      <c r="T28" s="283"/>
      <c r="U28" s="60"/>
      <c r="V28" s="60"/>
      <c r="W28" s="60"/>
      <c r="X28" s="283"/>
      <c r="Y28" s="60"/>
      <c r="Z28" s="60"/>
      <c r="AA28" s="61"/>
      <c r="AB28" s="60"/>
      <c r="AC28" s="283"/>
      <c r="AD28" s="283">
        <f t="shared" si="4"/>
        <v>26000</v>
      </c>
      <c r="AE28" s="283">
        <f t="shared" si="5"/>
        <v>-18000</v>
      </c>
      <c r="AF28" s="300"/>
      <c r="AG28" s="298"/>
    </row>
    <row r="29" spans="1:33" s="299" customFormat="1" ht="48.75" customHeight="1" x14ac:dyDescent="0.5">
      <c r="A29" s="279">
        <v>25</v>
      </c>
      <c r="B29" s="283" t="s">
        <v>498</v>
      </c>
      <c r="C29" s="284">
        <f t="shared" si="3"/>
        <v>225</v>
      </c>
      <c r="D29" s="285" t="s">
        <v>195</v>
      </c>
      <c r="E29" s="285" t="s">
        <v>196</v>
      </c>
      <c r="F29" s="131">
        <v>3473418404</v>
      </c>
      <c r="G29" s="130" t="s">
        <v>139</v>
      </c>
      <c r="H29" s="60">
        <v>8000</v>
      </c>
      <c r="I29" s="132">
        <v>32000</v>
      </c>
      <c r="J29" s="227"/>
      <c r="K29" s="296">
        <f t="shared" si="0"/>
        <v>40000</v>
      </c>
      <c r="L29" s="283">
        <v>8000</v>
      </c>
      <c r="M29" s="61" t="s">
        <v>559</v>
      </c>
      <c r="N29" s="61"/>
      <c r="O29" s="61"/>
      <c r="P29" s="283">
        <v>8000</v>
      </c>
      <c r="Q29" s="60" t="s">
        <v>883</v>
      </c>
      <c r="R29" s="60"/>
      <c r="S29" s="60"/>
      <c r="T29" s="283">
        <v>8000</v>
      </c>
      <c r="U29" s="60">
        <v>912</v>
      </c>
      <c r="V29" s="60"/>
      <c r="W29" s="60"/>
      <c r="X29" s="283"/>
      <c r="Y29" s="60"/>
      <c r="Z29" s="60"/>
      <c r="AA29" s="61"/>
      <c r="AB29" s="60"/>
      <c r="AC29" s="283"/>
      <c r="AD29" s="283">
        <f t="shared" si="4"/>
        <v>24000</v>
      </c>
      <c r="AE29" s="283">
        <f t="shared" si="5"/>
        <v>-16000</v>
      </c>
      <c r="AF29" s="300"/>
      <c r="AG29" s="298"/>
    </row>
    <row r="30" spans="1:33" s="299" customFormat="1" ht="48.75" customHeight="1" x14ac:dyDescent="0.5">
      <c r="A30" s="279">
        <v>26</v>
      </c>
      <c r="B30" s="283" t="s">
        <v>498</v>
      </c>
      <c r="C30" s="289">
        <f t="shared" si="3"/>
        <v>226</v>
      </c>
      <c r="D30" s="286" t="s">
        <v>197</v>
      </c>
      <c r="E30" s="285" t="s">
        <v>198</v>
      </c>
      <c r="F30" s="131">
        <v>3368649732</v>
      </c>
      <c r="G30" s="130" t="s">
        <v>23</v>
      </c>
      <c r="H30" s="60">
        <v>8000</v>
      </c>
      <c r="I30" s="132">
        <v>22000</v>
      </c>
      <c r="J30" s="227">
        <v>50000</v>
      </c>
      <c r="K30" s="296">
        <f t="shared" si="0"/>
        <v>80000</v>
      </c>
      <c r="L30" s="283">
        <v>8000</v>
      </c>
      <c r="M30" s="61" t="s">
        <v>657</v>
      </c>
      <c r="N30" s="61"/>
      <c r="O30" s="61"/>
      <c r="P30" s="283">
        <v>8000</v>
      </c>
      <c r="Q30" s="60" t="s">
        <v>888</v>
      </c>
      <c r="R30" s="60">
        <v>22000</v>
      </c>
      <c r="S30" s="60"/>
      <c r="T30" s="283"/>
      <c r="U30" s="60"/>
      <c r="V30" s="60"/>
      <c r="W30" s="60"/>
      <c r="X30" s="283"/>
      <c r="Y30" s="60"/>
      <c r="Z30" s="60"/>
      <c r="AA30" s="61"/>
      <c r="AB30" s="60"/>
      <c r="AC30" s="283"/>
      <c r="AD30" s="283">
        <f t="shared" si="4"/>
        <v>38000</v>
      </c>
      <c r="AE30" s="283">
        <f t="shared" si="5"/>
        <v>-42000</v>
      </c>
      <c r="AF30" s="300"/>
      <c r="AG30" s="298"/>
    </row>
    <row r="31" spans="1:33" s="299" customFormat="1" ht="48.75" customHeight="1" x14ac:dyDescent="0.5">
      <c r="A31" s="279">
        <v>27</v>
      </c>
      <c r="B31" s="283" t="s">
        <v>498</v>
      </c>
      <c r="C31" s="289">
        <f t="shared" si="3"/>
        <v>227</v>
      </c>
      <c r="D31" s="285" t="s">
        <v>199</v>
      </c>
      <c r="E31" s="285" t="s">
        <v>200</v>
      </c>
      <c r="F31" s="131">
        <v>3067030336</v>
      </c>
      <c r="G31" s="130" t="s">
        <v>139</v>
      </c>
      <c r="H31" s="60">
        <v>8000</v>
      </c>
      <c r="I31" s="132">
        <v>32000</v>
      </c>
      <c r="J31" s="133"/>
      <c r="K31" s="296">
        <f t="shared" si="0"/>
        <v>40000</v>
      </c>
      <c r="L31" s="283">
        <v>3000</v>
      </c>
      <c r="M31" s="61" t="s">
        <v>565</v>
      </c>
      <c r="N31" s="61"/>
      <c r="O31" s="61"/>
      <c r="P31" s="283">
        <v>8000</v>
      </c>
      <c r="Q31" s="60" t="s">
        <v>867</v>
      </c>
      <c r="R31" s="60"/>
      <c r="S31" s="60"/>
      <c r="T31" s="283">
        <v>8000</v>
      </c>
      <c r="U31" s="60" t="s">
        <v>1023</v>
      </c>
      <c r="V31" s="60"/>
      <c r="W31" s="60"/>
      <c r="X31" s="283">
        <v>8000</v>
      </c>
      <c r="Y31" s="60" t="s">
        <v>1098</v>
      </c>
      <c r="Z31" s="60"/>
      <c r="AA31" s="61"/>
      <c r="AB31" s="60"/>
      <c r="AC31" s="283"/>
      <c r="AD31" s="283">
        <f t="shared" si="4"/>
        <v>27000</v>
      </c>
      <c r="AE31" s="283">
        <f t="shared" si="5"/>
        <v>-13000</v>
      </c>
      <c r="AF31" s="300"/>
      <c r="AG31" s="298"/>
    </row>
    <row r="32" spans="1:33" s="299" customFormat="1" ht="48.75" customHeight="1" x14ac:dyDescent="0.5">
      <c r="A32" s="279">
        <v>28</v>
      </c>
      <c r="B32" s="283" t="s">
        <v>498</v>
      </c>
      <c r="C32" s="284">
        <f t="shared" si="3"/>
        <v>228</v>
      </c>
      <c r="D32" s="290" t="s">
        <v>201</v>
      </c>
      <c r="E32" s="290" t="s">
        <v>202</v>
      </c>
      <c r="F32" s="131">
        <v>3291015016</v>
      </c>
      <c r="G32" s="130" t="s">
        <v>19</v>
      </c>
      <c r="H32" s="60">
        <v>8000</v>
      </c>
      <c r="I32" s="132">
        <v>32000</v>
      </c>
      <c r="J32" s="133"/>
      <c r="K32" s="296">
        <f t="shared" si="0"/>
        <v>40000</v>
      </c>
      <c r="L32" s="283">
        <v>8000</v>
      </c>
      <c r="M32" s="61" t="s">
        <v>618</v>
      </c>
      <c r="N32" s="61"/>
      <c r="O32" s="61"/>
      <c r="P32" s="283">
        <v>8000</v>
      </c>
      <c r="Q32" s="60" t="s">
        <v>849</v>
      </c>
      <c r="R32" s="60"/>
      <c r="S32" s="60"/>
      <c r="T32" s="283">
        <v>8000</v>
      </c>
      <c r="U32" s="60" t="s">
        <v>950</v>
      </c>
      <c r="V32" s="60"/>
      <c r="W32" s="60"/>
      <c r="X32" s="283">
        <v>8000</v>
      </c>
      <c r="Y32" s="60" t="s">
        <v>1135</v>
      </c>
      <c r="Z32" s="60"/>
      <c r="AA32" s="61"/>
      <c r="AB32" s="60"/>
      <c r="AC32" s="283"/>
      <c r="AD32" s="283">
        <f t="shared" si="4"/>
        <v>32000</v>
      </c>
      <c r="AE32" s="283">
        <f t="shared" si="5"/>
        <v>-8000</v>
      </c>
      <c r="AF32" s="300"/>
      <c r="AG32" s="298"/>
    </row>
    <row r="33" spans="1:33" s="299" customFormat="1" ht="48.75" customHeight="1" x14ac:dyDescent="0.5">
      <c r="A33" s="279">
        <v>29</v>
      </c>
      <c r="B33" s="283" t="s">
        <v>498</v>
      </c>
      <c r="C33" s="289">
        <f t="shared" si="3"/>
        <v>229</v>
      </c>
      <c r="D33" s="288" t="s">
        <v>203</v>
      </c>
      <c r="E33" s="285" t="s">
        <v>204</v>
      </c>
      <c r="F33" s="131">
        <v>3281695390</v>
      </c>
      <c r="G33" s="130" t="s">
        <v>18</v>
      </c>
      <c r="H33" s="60">
        <v>8000</v>
      </c>
      <c r="I33" s="132">
        <v>36000</v>
      </c>
      <c r="J33" s="133"/>
      <c r="K33" s="296">
        <f t="shared" si="0"/>
        <v>44000</v>
      </c>
      <c r="L33" s="283">
        <v>8000</v>
      </c>
      <c r="M33" s="61" t="s">
        <v>638</v>
      </c>
      <c r="N33" s="61"/>
      <c r="O33" s="61"/>
      <c r="P33" s="283">
        <v>8000</v>
      </c>
      <c r="Q33" s="60" t="s">
        <v>817</v>
      </c>
      <c r="R33" s="60"/>
      <c r="S33" s="60"/>
      <c r="T33" s="283">
        <v>10000</v>
      </c>
      <c r="U33" s="60" t="s">
        <v>1016</v>
      </c>
      <c r="V33" s="60"/>
      <c r="W33" s="60"/>
      <c r="X33" s="283">
        <v>9000</v>
      </c>
      <c r="Y33" s="60" t="s">
        <v>1101</v>
      </c>
      <c r="Z33" s="60"/>
      <c r="AA33" s="61"/>
      <c r="AB33" s="60"/>
      <c r="AC33" s="283"/>
      <c r="AD33" s="283">
        <f t="shared" si="4"/>
        <v>35000</v>
      </c>
      <c r="AE33" s="283">
        <f t="shared" si="5"/>
        <v>-9000</v>
      </c>
      <c r="AF33" s="300"/>
      <c r="AG33" s="298"/>
    </row>
    <row r="34" spans="1:33" s="299" customFormat="1" ht="48.75" customHeight="1" x14ac:dyDescent="0.5">
      <c r="A34" s="279">
        <v>30</v>
      </c>
      <c r="B34" s="283" t="s">
        <v>498</v>
      </c>
      <c r="C34" s="289">
        <f t="shared" si="3"/>
        <v>230</v>
      </c>
      <c r="D34" s="285" t="s">
        <v>205</v>
      </c>
      <c r="E34" s="285" t="s">
        <v>206</v>
      </c>
      <c r="F34" s="131">
        <v>3441777009</v>
      </c>
      <c r="G34" s="130" t="s">
        <v>39</v>
      </c>
      <c r="H34" s="60">
        <v>8000</v>
      </c>
      <c r="I34" s="132">
        <v>17000</v>
      </c>
      <c r="J34" s="227">
        <v>50000</v>
      </c>
      <c r="K34" s="296">
        <f t="shared" si="0"/>
        <v>75000</v>
      </c>
      <c r="L34" s="283">
        <v>8000</v>
      </c>
      <c r="M34" s="61" t="s">
        <v>588</v>
      </c>
      <c r="N34" s="61">
        <v>10000</v>
      </c>
      <c r="O34" s="61"/>
      <c r="P34" s="283">
        <v>6750</v>
      </c>
      <c r="Q34" s="60" t="s">
        <v>826</v>
      </c>
      <c r="R34" s="60"/>
      <c r="S34" s="60"/>
      <c r="T34" s="283"/>
      <c r="U34" s="60"/>
      <c r="V34" s="60"/>
      <c r="W34" s="60"/>
      <c r="X34" s="283"/>
      <c r="Y34" s="60"/>
      <c r="Z34" s="60"/>
      <c r="AA34" s="61"/>
      <c r="AB34" s="60"/>
      <c r="AC34" s="283"/>
      <c r="AD34" s="283">
        <f>L34+P34+T34+X34+AB34+N34+R34+V34+Z34</f>
        <v>24750</v>
      </c>
      <c r="AE34" s="283">
        <f>AD34-K34</f>
        <v>-50250</v>
      </c>
      <c r="AF34" s="300"/>
      <c r="AG34" s="298"/>
    </row>
    <row r="35" spans="1:33" s="299" customFormat="1" ht="48.75" customHeight="1" x14ac:dyDescent="0.5">
      <c r="A35" s="279">
        <v>31</v>
      </c>
      <c r="B35" s="283" t="s">
        <v>498</v>
      </c>
      <c r="C35" s="284">
        <f t="shared" si="3"/>
        <v>231</v>
      </c>
      <c r="D35" s="285" t="s">
        <v>152</v>
      </c>
      <c r="E35" s="285" t="s">
        <v>153</v>
      </c>
      <c r="F35" s="131">
        <v>3089156114</v>
      </c>
      <c r="G35" s="130" t="s">
        <v>23</v>
      </c>
      <c r="H35" s="60">
        <v>8000</v>
      </c>
      <c r="I35" s="132">
        <v>8000</v>
      </c>
      <c r="J35" s="228">
        <v>50000</v>
      </c>
      <c r="K35" s="296">
        <f t="shared" si="0"/>
        <v>66000</v>
      </c>
      <c r="L35" s="283">
        <v>8000</v>
      </c>
      <c r="M35" s="61" t="s">
        <v>572</v>
      </c>
      <c r="N35" s="61"/>
      <c r="O35" s="61"/>
      <c r="P35" s="283">
        <v>4500</v>
      </c>
      <c r="Q35" s="60" t="s">
        <v>858</v>
      </c>
      <c r="R35" s="60"/>
      <c r="S35" s="60"/>
      <c r="T35" s="283">
        <v>4500</v>
      </c>
      <c r="U35" s="60" t="s">
        <v>998</v>
      </c>
      <c r="V35" s="60"/>
      <c r="W35" s="60"/>
      <c r="X35" s="283"/>
      <c r="Y35" s="60"/>
      <c r="Z35" s="60"/>
      <c r="AA35" s="61"/>
      <c r="AB35" s="60"/>
      <c r="AC35" s="283"/>
      <c r="AD35" s="283">
        <f t="shared" si="4"/>
        <v>17000</v>
      </c>
      <c r="AE35" s="283">
        <f t="shared" si="5"/>
        <v>-49000</v>
      </c>
      <c r="AF35" s="300"/>
      <c r="AG35" s="298"/>
    </row>
    <row r="36" spans="1:33" s="299" customFormat="1" ht="48.75" customHeight="1" x14ac:dyDescent="0.5">
      <c r="A36" s="279">
        <v>32</v>
      </c>
      <c r="B36" s="283" t="s">
        <v>498</v>
      </c>
      <c r="C36" s="289">
        <f t="shared" si="3"/>
        <v>232</v>
      </c>
      <c r="D36" s="291" t="s">
        <v>496</v>
      </c>
      <c r="E36" s="291" t="s">
        <v>497</v>
      </c>
      <c r="F36" s="134">
        <v>3267126519</v>
      </c>
      <c r="G36" s="135" t="s">
        <v>141</v>
      </c>
      <c r="H36" s="60">
        <v>8000</v>
      </c>
      <c r="I36" s="136">
        <v>22000</v>
      </c>
      <c r="J36" s="135"/>
      <c r="K36" s="296">
        <f t="shared" si="0"/>
        <v>30000</v>
      </c>
      <c r="L36" s="283">
        <v>8000</v>
      </c>
      <c r="M36" s="61" t="s">
        <v>763</v>
      </c>
      <c r="N36" s="61"/>
      <c r="O36" s="61"/>
      <c r="P36" s="283">
        <v>7000</v>
      </c>
      <c r="Q36" s="60" t="s">
        <v>868</v>
      </c>
      <c r="R36" s="60"/>
      <c r="S36" s="60"/>
      <c r="T36" s="283"/>
      <c r="U36" s="60"/>
      <c r="V36" s="60"/>
      <c r="W36" s="60"/>
      <c r="X36" s="283">
        <v>5000</v>
      </c>
      <c r="Y36" s="60" t="s">
        <v>1118</v>
      </c>
      <c r="Z36" s="60"/>
      <c r="AA36" s="61"/>
      <c r="AB36" s="60"/>
      <c r="AC36" s="283"/>
      <c r="AD36" s="283">
        <f t="shared" si="4"/>
        <v>20000</v>
      </c>
      <c r="AE36" s="283">
        <f t="shared" si="5"/>
        <v>-10000</v>
      </c>
      <c r="AF36" s="300" t="s">
        <v>1030</v>
      </c>
      <c r="AG36" s="298"/>
    </row>
    <row r="37" spans="1:33" s="299" customFormat="1" ht="48.75" customHeight="1" x14ac:dyDescent="0.5">
      <c r="A37" s="279">
        <v>33</v>
      </c>
      <c r="B37" s="283" t="s">
        <v>498</v>
      </c>
      <c r="C37" s="284">
        <f t="shared" si="3"/>
        <v>233</v>
      </c>
      <c r="D37" s="288" t="s">
        <v>92</v>
      </c>
      <c r="E37" s="290" t="s">
        <v>93</v>
      </c>
      <c r="F37" s="137">
        <v>3060668192</v>
      </c>
      <c r="G37" s="138" t="s">
        <v>18</v>
      </c>
      <c r="H37" s="60">
        <v>8000</v>
      </c>
      <c r="I37" s="132">
        <v>30000</v>
      </c>
      <c r="J37" s="130"/>
      <c r="K37" s="296">
        <f t="shared" ref="K37:K69" si="6">I37+J37+H37</f>
        <v>38000</v>
      </c>
      <c r="L37" s="283">
        <v>8000</v>
      </c>
      <c r="M37" s="61" t="s">
        <v>706</v>
      </c>
      <c r="N37" s="61"/>
      <c r="O37" s="61"/>
      <c r="P37" s="283"/>
      <c r="Q37" s="60"/>
      <c r="R37" s="60"/>
      <c r="S37" s="60"/>
      <c r="T37" s="283">
        <v>10000</v>
      </c>
      <c r="U37" s="60">
        <v>946</v>
      </c>
      <c r="V37" s="60"/>
      <c r="W37" s="60"/>
      <c r="X37" s="283">
        <v>8000</v>
      </c>
      <c r="Y37" s="60" t="s">
        <v>1105</v>
      </c>
      <c r="Z37" s="60"/>
      <c r="AA37" s="61"/>
      <c r="AB37" s="60"/>
      <c r="AC37" s="283"/>
      <c r="AD37" s="283">
        <f t="shared" si="4"/>
        <v>26000</v>
      </c>
      <c r="AE37" s="283">
        <f t="shared" si="5"/>
        <v>-12000</v>
      </c>
      <c r="AF37" s="300"/>
      <c r="AG37" s="298"/>
    </row>
    <row r="38" spans="1:33" s="299" customFormat="1" ht="48.75" customHeight="1" x14ac:dyDescent="0.5">
      <c r="A38" s="279">
        <v>34</v>
      </c>
      <c r="B38" s="283" t="s">
        <v>498</v>
      </c>
      <c r="C38" s="292"/>
      <c r="D38" s="288" t="s">
        <v>1064</v>
      </c>
      <c r="E38" s="290"/>
      <c r="F38" s="137"/>
      <c r="G38" s="138"/>
      <c r="H38" s="60">
        <v>8000</v>
      </c>
      <c r="I38" s="132">
        <v>25000</v>
      </c>
      <c r="J38" s="226"/>
      <c r="K38" s="296">
        <f t="shared" si="6"/>
        <v>33000</v>
      </c>
      <c r="L38" s="283"/>
      <c r="M38" s="61"/>
      <c r="N38" s="61"/>
      <c r="O38" s="61"/>
      <c r="P38" s="283"/>
      <c r="Q38" s="60"/>
      <c r="R38" s="60"/>
      <c r="S38" s="60"/>
      <c r="T38" s="283"/>
      <c r="U38" s="60"/>
      <c r="V38" s="60"/>
      <c r="W38" s="60"/>
      <c r="X38" s="283"/>
      <c r="Y38" s="60"/>
      <c r="Z38" s="60"/>
      <c r="AA38" s="61"/>
      <c r="AB38" s="60"/>
      <c r="AC38" s="283"/>
      <c r="AD38" s="283">
        <f t="shared" si="4"/>
        <v>0</v>
      </c>
      <c r="AE38" s="283">
        <f t="shared" si="5"/>
        <v>-33000</v>
      </c>
      <c r="AF38" s="300"/>
      <c r="AG38" s="298"/>
    </row>
    <row r="39" spans="1:33" s="364" customFormat="1" ht="48" customHeight="1" x14ac:dyDescent="0.55000000000000004">
      <c r="A39" s="341">
        <v>35</v>
      </c>
      <c r="B39" s="366" t="s">
        <v>502</v>
      </c>
      <c r="C39" s="367">
        <v>101</v>
      </c>
      <c r="D39" s="368" t="s">
        <v>46</v>
      </c>
      <c r="E39" s="368" t="s">
        <v>47</v>
      </c>
      <c r="F39" s="139">
        <v>3049144847</v>
      </c>
      <c r="G39" s="140" t="s">
        <v>22</v>
      </c>
      <c r="H39" s="55">
        <v>8000</v>
      </c>
      <c r="I39" s="141">
        <v>100</v>
      </c>
      <c r="J39" s="373">
        <v>40000</v>
      </c>
      <c r="K39" s="374">
        <f t="shared" si="6"/>
        <v>48100</v>
      </c>
      <c r="L39" s="366">
        <v>8000</v>
      </c>
      <c r="M39" s="56" t="s">
        <v>659</v>
      </c>
      <c r="N39" s="56"/>
      <c r="O39" s="56"/>
      <c r="P39" s="366">
        <v>100</v>
      </c>
      <c r="Q39" s="55" t="s">
        <v>791</v>
      </c>
      <c r="R39" s="55"/>
      <c r="S39" s="55"/>
      <c r="T39" s="366"/>
      <c r="U39" s="55"/>
      <c r="V39" s="55"/>
      <c r="W39" s="55"/>
      <c r="X39" s="366"/>
      <c r="Y39" s="55"/>
      <c r="Z39" s="55"/>
      <c r="AA39" s="56"/>
      <c r="AB39" s="55"/>
      <c r="AC39" s="366"/>
      <c r="AD39" s="366">
        <f t="shared" si="4"/>
        <v>8100</v>
      </c>
      <c r="AE39" s="366">
        <f t="shared" si="5"/>
        <v>-40000</v>
      </c>
      <c r="AF39" s="375"/>
      <c r="AG39" s="363"/>
    </row>
    <row r="40" spans="1:33" s="364" customFormat="1" ht="48" customHeight="1" x14ac:dyDescent="0.55000000000000004">
      <c r="A40" s="341">
        <v>36</v>
      </c>
      <c r="B40" s="349" t="s">
        <v>502</v>
      </c>
      <c r="C40" s="350">
        <f>C39+1</f>
        <v>102</v>
      </c>
      <c r="D40" s="369" t="s">
        <v>48</v>
      </c>
      <c r="E40" s="369" t="s">
        <v>49</v>
      </c>
      <c r="F40" s="145">
        <v>3000797136</v>
      </c>
      <c r="G40" s="146" t="s">
        <v>20</v>
      </c>
      <c r="H40" s="108">
        <v>8000</v>
      </c>
      <c r="I40" s="147">
        <v>100</v>
      </c>
      <c r="J40" s="359"/>
      <c r="K40" s="360">
        <f t="shared" si="6"/>
        <v>8100</v>
      </c>
      <c r="L40" s="349">
        <v>8000</v>
      </c>
      <c r="M40" s="109" t="s">
        <v>761</v>
      </c>
      <c r="N40" s="109"/>
      <c r="O40" s="109"/>
      <c r="P40" s="349"/>
      <c r="Q40" s="108"/>
      <c r="R40" s="108"/>
      <c r="S40" s="108"/>
      <c r="T40" s="349"/>
      <c r="U40" s="108"/>
      <c r="V40" s="108"/>
      <c r="W40" s="222"/>
      <c r="X40" s="349"/>
      <c r="Y40" s="108"/>
      <c r="Z40" s="108"/>
      <c r="AA40" s="109"/>
      <c r="AB40" s="108"/>
      <c r="AC40" s="349"/>
      <c r="AD40" s="349">
        <f t="shared" ref="AD40:AD78" si="7">L40+P40+T40+X40+AB40+N40+R40+V40+Z40</f>
        <v>8000</v>
      </c>
      <c r="AE40" s="349">
        <f t="shared" ref="AE40:AE78" si="8">AD40-K40</f>
        <v>-100</v>
      </c>
      <c r="AF40" s="365"/>
      <c r="AG40" s="363"/>
    </row>
    <row r="41" spans="1:33" s="364" customFormat="1" ht="48" customHeight="1" x14ac:dyDescent="0.55000000000000004">
      <c r="A41" s="341">
        <v>37</v>
      </c>
      <c r="B41" s="349" t="s">
        <v>502</v>
      </c>
      <c r="C41" s="350">
        <f t="shared" ref="C41:C82" si="9">C40+1</f>
        <v>103</v>
      </c>
      <c r="D41" s="352" t="s">
        <v>50</v>
      </c>
      <c r="E41" s="352" t="s">
        <v>51</v>
      </c>
      <c r="F41" s="145">
        <v>3056058124</v>
      </c>
      <c r="G41" s="146" t="s">
        <v>134</v>
      </c>
      <c r="H41" s="108">
        <v>8000</v>
      </c>
      <c r="I41" s="147">
        <v>100</v>
      </c>
      <c r="J41" s="359"/>
      <c r="K41" s="360">
        <f t="shared" si="6"/>
        <v>8100</v>
      </c>
      <c r="L41" s="349">
        <v>8000</v>
      </c>
      <c r="M41" s="109" t="s">
        <v>538</v>
      </c>
      <c r="N41" s="109"/>
      <c r="O41" s="109"/>
      <c r="P41" s="349"/>
      <c r="Q41" s="108"/>
      <c r="R41" s="108"/>
      <c r="S41" s="108"/>
      <c r="T41" s="349"/>
      <c r="U41" s="108"/>
      <c r="V41" s="108"/>
      <c r="W41" s="108"/>
      <c r="X41" s="349"/>
      <c r="Y41" s="108"/>
      <c r="Z41" s="108"/>
      <c r="AA41" s="109"/>
      <c r="AB41" s="108"/>
      <c r="AC41" s="349"/>
      <c r="AD41" s="349">
        <f t="shared" si="7"/>
        <v>8000</v>
      </c>
      <c r="AE41" s="349">
        <f t="shared" si="8"/>
        <v>-100</v>
      </c>
      <c r="AF41" s="365"/>
      <c r="AG41" s="363"/>
    </row>
    <row r="42" spans="1:33" s="364" customFormat="1" ht="48" customHeight="1" x14ac:dyDescent="0.55000000000000004">
      <c r="A42" s="341">
        <v>38</v>
      </c>
      <c r="B42" s="366" t="s">
        <v>502</v>
      </c>
      <c r="C42" s="367">
        <f t="shared" si="9"/>
        <v>104</v>
      </c>
      <c r="D42" s="370" t="s">
        <v>52</v>
      </c>
      <c r="E42" s="370" t="s">
        <v>53</v>
      </c>
      <c r="F42" s="139">
        <v>3070334500</v>
      </c>
      <c r="G42" s="140" t="s">
        <v>135</v>
      </c>
      <c r="H42" s="55">
        <v>8000</v>
      </c>
      <c r="I42" s="141">
        <v>18000</v>
      </c>
      <c r="J42" s="373"/>
      <c r="K42" s="374">
        <f t="shared" si="6"/>
        <v>26000</v>
      </c>
      <c r="L42" s="366">
        <v>8000</v>
      </c>
      <c r="M42" s="56" t="s">
        <v>536</v>
      </c>
      <c r="N42" s="55"/>
      <c r="O42" s="55"/>
      <c r="P42" s="366">
        <v>4500</v>
      </c>
      <c r="Q42" s="55" t="s">
        <v>827</v>
      </c>
      <c r="R42" s="55"/>
      <c r="S42" s="55"/>
      <c r="T42" s="366">
        <v>4500</v>
      </c>
      <c r="U42" s="55" t="s">
        <v>934</v>
      </c>
      <c r="V42" s="55"/>
      <c r="W42" s="55"/>
      <c r="X42" s="366">
        <v>4500</v>
      </c>
      <c r="Y42" s="55" t="s">
        <v>1077</v>
      </c>
      <c r="Z42" s="55"/>
      <c r="AA42" s="56"/>
      <c r="AB42" s="55"/>
      <c r="AC42" s="366"/>
      <c r="AD42" s="366">
        <f t="shared" si="7"/>
        <v>21500</v>
      </c>
      <c r="AE42" s="366">
        <f t="shared" si="8"/>
        <v>-4500</v>
      </c>
      <c r="AF42" s="375"/>
      <c r="AG42" s="363"/>
    </row>
    <row r="43" spans="1:33" s="364" customFormat="1" ht="48" customHeight="1" x14ac:dyDescent="0.55000000000000004">
      <c r="A43" s="341">
        <v>39</v>
      </c>
      <c r="B43" s="349" t="s">
        <v>502</v>
      </c>
      <c r="C43" s="350">
        <f t="shared" si="9"/>
        <v>105</v>
      </c>
      <c r="D43" s="351" t="s">
        <v>54</v>
      </c>
      <c r="E43" s="352" t="s">
        <v>55</v>
      </c>
      <c r="F43" s="145">
        <v>3026096345</v>
      </c>
      <c r="G43" s="146" t="s">
        <v>136</v>
      </c>
      <c r="H43" s="108">
        <v>8000</v>
      </c>
      <c r="I43" s="147">
        <v>100</v>
      </c>
      <c r="J43" s="359"/>
      <c r="K43" s="360">
        <f t="shared" si="6"/>
        <v>8100</v>
      </c>
      <c r="L43" s="349">
        <v>8000</v>
      </c>
      <c r="M43" s="109" t="s">
        <v>726</v>
      </c>
      <c r="N43" s="109"/>
      <c r="O43" s="109"/>
      <c r="P43" s="349"/>
      <c r="Q43" s="108"/>
      <c r="R43" s="108"/>
      <c r="S43" s="108"/>
      <c r="T43" s="349"/>
      <c r="U43" s="108"/>
      <c r="V43" s="108"/>
      <c r="W43" s="108"/>
      <c r="X43" s="349"/>
      <c r="Y43" s="108"/>
      <c r="Z43" s="108"/>
      <c r="AA43" s="223"/>
      <c r="AB43" s="108"/>
      <c r="AC43" s="349"/>
      <c r="AD43" s="349">
        <f t="shared" si="7"/>
        <v>8000</v>
      </c>
      <c r="AE43" s="349">
        <f t="shared" si="8"/>
        <v>-100</v>
      </c>
      <c r="AF43" s="365"/>
      <c r="AG43" s="363"/>
    </row>
    <row r="44" spans="1:33" s="364" customFormat="1" ht="48" customHeight="1" x14ac:dyDescent="0.55000000000000004">
      <c r="A44" s="341">
        <v>40</v>
      </c>
      <c r="B44" s="366" t="s">
        <v>502</v>
      </c>
      <c r="C44" s="367">
        <f t="shared" si="9"/>
        <v>106</v>
      </c>
      <c r="D44" s="370" t="s">
        <v>56</v>
      </c>
      <c r="E44" s="370" t="s">
        <v>57</v>
      </c>
      <c r="F44" s="139">
        <v>3004847918</v>
      </c>
      <c r="G44" s="140" t="s">
        <v>137</v>
      </c>
      <c r="H44" s="55">
        <v>8000</v>
      </c>
      <c r="I44" s="141">
        <v>32000</v>
      </c>
      <c r="J44" s="373"/>
      <c r="K44" s="374">
        <f t="shared" si="6"/>
        <v>40000</v>
      </c>
      <c r="L44" s="366">
        <v>8000</v>
      </c>
      <c r="M44" s="56" t="s">
        <v>568</v>
      </c>
      <c r="N44" s="56"/>
      <c r="O44" s="56"/>
      <c r="P44" s="366">
        <v>8000</v>
      </c>
      <c r="Q44" s="55" t="s">
        <v>807</v>
      </c>
      <c r="R44" s="55"/>
      <c r="S44" s="55"/>
      <c r="T44" s="366">
        <v>8000</v>
      </c>
      <c r="U44" s="55" t="s">
        <v>974</v>
      </c>
      <c r="V44" s="55"/>
      <c r="W44" s="55"/>
      <c r="X44" s="366">
        <v>10000</v>
      </c>
      <c r="Y44" s="55" t="s">
        <v>1120</v>
      </c>
      <c r="Z44" s="55"/>
      <c r="AA44" s="56"/>
      <c r="AB44" s="55"/>
      <c r="AC44" s="366"/>
      <c r="AD44" s="366">
        <f t="shared" si="7"/>
        <v>34000</v>
      </c>
      <c r="AE44" s="366">
        <f t="shared" si="8"/>
        <v>-6000</v>
      </c>
      <c r="AF44" s="375"/>
      <c r="AG44" s="363"/>
    </row>
    <row r="45" spans="1:33" s="364" customFormat="1" ht="48" customHeight="1" x14ac:dyDescent="0.55000000000000004">
      <c r="A45" s="341">
        <v>41</v>
      </c>
      <c r="B45" s="366" t="s">
        <v>502</v>
      </c>
      <c r="C45" s="367">
        <f t="shared" si="9"/>
        <v>107</v>
      </c>
      <c r="D45" s="370" t="s">
        <v>58</v>
      </c>
      <c r="E45" s="370" t="s">
        <v>59</v>
      </c>
      <c r="F45" s="142">
        <v>3291852390</v>
      </c>
      <c r="G45" s="143" t="s">
        <v>18</v>
      </c>
      <c r="H45" s="55">
        <v>8000</v>
      </c>
      <c r="I45" s="141">
        <v>25000</v>
      </c>
      <c r="J45" s="373"/>
      <c r="K45" s="374">
        <f t="shared" si="6"/>
        <v>33000</v>
      </c>
      <c r="L45" s="366">
        <v>8000</v>
      </c>
      <c r="M45" s="56" t="s">
        <v>717</v>
      </c>
      <c r="N45" s="56"/>
      <c r="O45" s="56"/>
      <c r="P45" s="366">
        <v>6250</v>
      </c>
      <c r="Q45" s="55" t="s">
        <v>814</v>
      </c>
      <c r="R45" s="55"/>
      <c r="S45" s="55"/>
      <c r="T45" s="366">
        <v>6250</v>
      </c>
      <c r="U45" s="55" t="s">
        <v>958</v>
      </c>
      <c r="V45" s="55"/>
      <c r="W45" s="55"/>
      <c r="X45" s="366">
        <v>6250</v>
      </c>
      <c r="Y45" s="55" t="s">
        <v>1121</v>
      </c>
      <c r="Z45" s="55"/>
      <c r="AA45" s="56"/>
      <c r="AB45" s="55"/>
      <c r="AC45" s="366"/>
      <c r="AD45" s="366">
        <f t="shared" si="7"/>
        <v>26750</v>
      </c>
      <c r="AE45" s="366">
        <f t="shared" si="8"/>
        <v>-6250</v>
      </c>
      <c r="AF45" s="375"/>
      <c r="AG45" s="363"/>
    </row>
    <row r="46" spans="1:33" s="364" customFormat="1" ht="48" customHeight="1" x14ac:dyDescent="0.55000000000000004">
      <c r="A46" s="341">
        <v>42</v>
      </c>
      <c r="B46" s="366" t="s">
        <v>502</v>
      </c>
      <c r="C46" s="367">
        <f t="shared" si="9"/>
        <v>108</v>
      </c>
      <c r="D46" s="371" t="s">
        <v>60</v>
      </c>
      <c r="E46" s="371" t="s">
        <v>61</v>
      </c>
      <c r="F46" s="139">
        <v>3451888218</v>
      </c>
      <c r="G46" s="140" t="s">
        <v>31</v>
      </c>
      <c r="H46" s="55">
        <v>8000</v>
      </c>
      <c r="I46" s="141">
        <v>18000</v>
      </c>
      <c r="J46" s="373"/>
      <c r="K46" s="374">
        <f t="shared" si="6"/>
        <v>26000</v>
      </c>
      <c r="L46" s="366">
        <v>8000</v>
      </c>
      <c r="M46" s="56" t="s">
        <v>713</v>
      </c>
      <c r="N46" s="56"/>
      <c r="O46" s="56"/>
      <c r="P46" s="366">
        <v>4500</v>
      </c>
      <c r="Q46" s="55" t="s">
        <v>845</v>
      </c>
      <c r="R46" s="55"/>
      <c r="S46" s="55"/>
      <c r="T46" s="366">
        <v>4500</v>
      </c>
      <c r="U46" s="55" t="s">
        <v>952</v>
      </c>
      <c r="V46" s="55"/>
      <c r="W46" s="55"/>
      <c r="X46" s="366">
        <v>4500</v>
      </c>
      <c r="Y46" s="55" t="s">
        <v>1183</v>
      </c>
      <c r="Z46" s="55"/>
      <c r="AA46" s="56"/>
      <c r="AB46" s="55"/>
      <c r="AC46" s="366"/>
      <c r="AD46" s="366">
        <f t="shared" si="7"/>
        <v>21500</v>
      </c>
      <c r="AE46" s="366">
        <f t="shared" si="8"/>
        <v>-4500</v>
      </c>
      <c r="AF46" s="375"/>
      <c r="AG46" s="363"/>
    </row>
    <row r="47" spans="1:33" s="364" customFormat="1" ht="48" customHeight="1" x14ac:dyDescent="0.55000000000000004">
      <c r="A47" s="341">
        <v>43</v>
      </c>
      <c r="B47" s="366" t="s">
        <v>502</v>
      </c>
      <c r="C47" s="367">
        <f t="shared" si="9"/>
        <v>109</v>
      </c>
      <c r="D47" s="372" t="s">
        <v>62</v>
      </c>
      <c r="E47" s="370" t="s">
        <v>63</v>
      </c>
      <c r="F47" s="139">
        <v>3057462290</v>
      </c>
      <c r="G47" s="140" t="s">
        <v>28</v>
      </c>
      <c r="H47" s="55">
        <v>8000</v>
      </c>
      <c r="I47" s="141">
        <v>32000</v>
      </c>
      <c r="J47" s="373"/>
      <c r="K47" s="374">
        <f t="shared" si="6"/>
        <v>40000</v>
      </c>
      <c r="L47" s="366">
        <v>8000</v>
      </c>
      <c r="M47" s="56" t="s">
        <v>750</v>
      </c>
      <c r="N47" s="56"/>
      <c r="O47" s="56"/>
      <c r="P47" s="366">
        <v>8000</v>
      </c>
      <c r="Q47" s="55" t="s">
        <v>911</v>
      </c>
      <c r="R47" s="55"/>
      <c r="S47" s="55"/>
      <c r="T47" s="366"/>
      <c r="U47" s="55"/>
      <c r="V47" s="55"/>
      <c r="W47" s="55"/>
      <c r="X47" s="366">
        <v>8000</v>
      </c>
      <c r="Y47" s="55" t="s">
        <v>1062</v>
      </c>
      <c r="Z47" s="55"/>
      <c r="AA47" s="56"/>
      <c r="AB47" s="55"/>
      <c r="AC47" s="366"/>
      <c r="AD47" s="366">
        <f t="shared" si="7"/>
        <v>24000</v>
      </c>
      <c r="AE47" s="366">
        <f t="shared" si="8"/>
        <v>-16000</v>
      </c>
      <c r="AF47" s="375"/>
      <c r="AG47" s="363"/>
    </row>
    <row r="48" spans="1:33" s="364" customFormat="1" ht="48" customHeight="1" x14ac:dyDescent="0.55000000000000004">
      <c r="A48" s="341">
        <v>44</v>
      </c>
      <c r="B48" s="366" t="s">
        <v>502</v>
      </c>
      <c r="C48" s="367">
        <f t="shared" si="9"/>
        <v>110</v>
      </c>
      <c r="D48" s="372" t="s">
        <v>64</v>
      </c>
      <c r="E48" s="370" t="s">
        <v>65</v>
      </c>
      <c r="F48" s="139">
        <v>3476725453</v>
      </c>
      <c r="G48" s="140" t="s">
        <v>136</v>
      </c>
      <c r="H48" s="55">
        <v>8000</v>
      </c>
      <c r="I48" s="141">
        <v>22000</v>
      </c>
      <c r="J48" s="373">
        <v>50000</v>
      </c>
      <c r="K48" s="374">
        <f t="shared" si="6"/>
        <v>80000</v>
      </c>
      <c r="L48" s="366">
        <v>8000</v>
      </c>
      <c r="M48" s="56" t="s">
        <v>699</v>
      </c>
      <c r="N48" s="56"/>
      <c r="O48" s="56"/>
      <c r="P48" s="366">
        <v>12000</v>
      </c>
      <c r="Q48" s="55" t="s">
        <v>797</v>
      </c>
      <c r="R48" s="55">
        <v>16000</v>
      </c>
      <c r="S48" s="55"/>
      <c r="T48" s="366"/>
      <c r="U48" s="55"/>
      <c r="V48" s="55"/>
      <c r="W48" s="55"/>
      <c r="X48" s="366"/>
      <c r="Y48" s="55"/>
      <c r="Z48" s="55"/>
      <c r="AA48" s="56"/>
      <c r="AB48" s="55"/>
      <c r="AC48" s="366"/>
      <c r="AD48" s="366">
        <f t="shared" si="7"/>
        <v>36000</v>
      </c>
      <c r="AE48" s="366">
        <f t="shared" si="8"/>
        <v>-44000</v>
      </c>
      <c r="AF48" s="375"/>
      <c r="AG48" s="363"/>
    </row>
    <row r="49" spans="1:34" s="364" customFormat="1" ht="48" customHeight="1" x14ac:dyDescent="0.55000000000000004">
      <c r="A49" s="341">
        <v>45</v>
      </c>
      <c r="B49" s="366" t="s">
        <v>502</v>
      </c>
      <c r="C49" s="367">
        <f t="shared" si="9"/>
        <v>111</v>
      </c>
      <c r="D49" s="370" t="s">
        <v>66</v>
      </c>
      <c r="E49" s="370" t="s">
        <v>67</v>
      </c>
      <c r="F49" s="139"/>
      <c r="G49" s="140" t="s">
        <v>22</v>
      </c>
      <c r="H49" s="55">
        <v>8000</v>
      </c>
      <c r="I49" s="141">
        <v>22000</v>
      </c>
      <c r="J49" s="373">
        <v>50000</v>
      </c>
      <c r="K49" s="374">
        <f t="shared" si="6"/>
        <v>80000</v>
      </c>
      <c r="L49" s="366">
        <v>8000</v>
      </c>
      <c r="M49" s="56" t="s">
        <v>624</v>
      </c>
      <c r="N49" s="56"/>
      <c r="O49" s="56"/>
      <c r="P49" s="366">
        <v>17000</v>
      </c>
      <c r="Q49" s="55" t="s">
        <v>781</v>
      </c>
      <c r="R49" s="55">
        <v>24000</v>
      </c>
      <c r="S49" s="55" t="s">
        <v>1025</v>
      </c>
      <c r="T49" s="366">
        <v>5000</v>
      </c>
      <c r="U49" s="55" t="s">
        <v>1189</v>
      </c>
      <c r="V49" s="55"/>
      <c r="W49" s="55"/>
      <c r="X49" s="366"/>
      <c r="Y49" s="55"/>
      <c r="Z49" s="55"/>
      <c r="AA49" s="56"/>
      <c r="AB49" s="55"/>
      <c r="AC49" s="366"/>
      <c r="AD49" s="366">
        <f t="shared" si="7"/>
        <v>54000</v>
      </c>
      <c r="AE49" s="366">
        <f t="shared" si="8"/>
        <v>-26000</v>
      </c>
      <c r="AF49" s="375"/>
      <c r="AG49" s="363"/>
    </row>
    <row r="50" spans="1:34" s="364" customFormat="1" ht="48" customHeight="1" x14ac:dyDescent="0.55000000000000004">
      <c r="A50" s="341">
        <v>46</v>
      </c>
      <c r="B50" s="366" t="s">
        <v>502</v>
      </c>
      <c r="C50" s="367">
        <f t="shared" si="9"/>
        <v>112</v>
      </c>
      <c r="D50" s="368" t="s">
        <v>68</v>
      </c>
      <c r="E50" s="368" t="s">
        <v>69</v>
      </c>
      <c r="F50" s="142">
        <v>3705291601</v>
      </c>
      <c r="G50" s="143" t="s">
        <v>138</v>
      </c>
      <c r="H50" s="55">
        <v>8000</v>
      </c>
      <c r="I50" s="141">
        <v>22000</v>
      </c>
      <c r="J50" s="373">
        <v>55000</v>
      </c>
      <c r="K50" s="374">
        <f t="shared" si="6"/>
        <v>85000</v>
      </c>
      <c r="L50" s="366">
        <v>8000</v>
      </c>
      <c r="M50" s="56" t="s">
        <v>593</v>
      </c>
      <c r="N50" s="56"/>
      <c r="O50" s="56"/>
      <c r="P50" s="366">
        <v>7000</v>
      </c>
      <c r="Q50" s="55" t="s">
        <v>773</v>
      </c>
      <c r="R50" s="55"/>
      <c r="S50" s="55"/>
      <c r="T50" s="366">
        <v>10000</v>
      </c>
      <c r="U50" s="55">
        <v>926</v>
      </c>
      <c r="V50" s="55"/>
      <c r="W50" s="55"/>
      <c r="X50" s="366">
        <v>5000</v>
      </c>
      <c r="Y50" s="55" t="s">
        <v>1099</v>
      </c>
      <c r="Z50" s="55"/>
      <c r="AA50" s="56"/>
      <c r="AB50" s="55"/>
      <c r="AC50" s="366"/>
      <c r="AD50" s="366">
        <f t="shared" si="7"/>
        <v>30000</v>
      </c>
      <c r="AE50" s="366">
        <f t="shared" si="8"/>
        <v>-55000</v>
      </c>
      <c r="AF50" s="375"/>
      <c r="AG50" s="363"/>
    </row>
    <row r="51" spans="1:34" s="364" customFormat="1" ht="48" customHeight="1" x14ac:dyDescent="0.55000000000000004">
      <c r="A51" s="341">
        <v>47</v>
      </c>
      <c r="B51" s="366" t="s">
        <v>502</v>
      </c>
      <c r="C51" s="367">
        <f t="shared" si="9"/>
        <v>113</v>
      </c>
      <c r="D51" s="371" t="s">
        <v>70</v>
      </c>
      <c r="E51" s="370" t="s">
        <v>71</v>
      </c>
      <c r="F51" s="139">
        <v>3221560460</v>
      </c>
      <c r="G51" s="140" t="s">
        <v>139</v>
      </c>
      <c r="H51" s="55">
        <v>8000</v>
      </c>
      <c r="I51" s="141">
        <v>36000</v>
      </c>
      <c r="J51" s="373"/>
      <c r="K51" s="374">
        <f t="shared" si="6"/>
        <v>44000</v>
      </c>
      <c r="L51" s="366">
        <v>8000</v>
      </c>
      <c r="M51" s="56" t="s">
        <v>616</v>
      </c>
      <c r="N51" s="56"/>
      <c r="O51" s="56"/>
      <c r="P51" s="366">
        <v>9000</v>
      </c>
      <c r="Q51" s="55" t="s">
        <v>812</v>
      </c>
      <c r="R51" s="55"/>
      <c r="S51" s="55"/>
      <c r="T51" s="366">
        <v>9000</v>
      </c>
      <c r="U51" s="55" t="s">
        <v>1002</v>
      </c>
      <c r="V51" s="55"/>
      <c r="W51" s="55"/>
      <c r="X51" s="366">
        <v>9000</v>
      </c>
      <c r="Y51" s="55" t="s">
        <v>1129</v>
      </c>
      <c r="Z51" s="55"/>
      <c r="AA51" s="56"/>
      <c r="AB51" s="55"/>
      <c r="AC51" s="366"/>
      <c r="AD51" s="366">
        <f t="shared" si="7"/>
        <v>35000</v>
      </c>
      <c r="AE51" s="366">
        <f t="shared" si="8"/>
        <v>-9000</v>
      </c>
      <c r="AF51" s="375"/>
      <c r="AG51" s="363"/>
    </row>
    <row r="52" spans="1:34" s="364" customFormat="1" ht="48" customHeight="1" x14ac:dyDescent="0.55000000000000004">
      <c r="A52" s="341">
        <v>48</v>
      </c>
      <c r="B52" s="366" t="s">
        <v>502</v>
      </c>
      <c r="C52" s="367">
        <f t="shared" si="9"/>
        <v>114</v>
      </c>
      <c r="D52" s="371" t="s">
        <v>72</v>
      </c>
      <c r="E52" s="370" t="s">
        <v>73</v>
      </c>
      <c r="F52" s="144">
        <v>3007286740</v>
      </c>
      <c r="G52" s="140" t="s">
        <v>18</v>
      </c>
      <c r="H52" s="55">
        <v>8000</v>
      </c>
      <c r="I52" s="141">
        <v>27000</v>
      </c>
      <c r="J52" s="373"/>
      <c r="K52" s="374">
        <f t="shared" si="6"/>
        <v>35000</v>
      </c>
      <c r="L52" s="366">
        <v>8000</v>
      </c>
      <c r="M52" s="56" t="s">
        <v>666</v>
      </c>
      <c r="N52" s="56"/>
      <c r="O52" s="56"/>
      <c r="P52" s="366">
        <v>6750</v>
      </c>
      <c r="Q52" s="55" t="s">
        <v>894</v>
      </c>
      <c r="R52" s="55"/>
      <c r="S52" s="55"/>
      <c r="T52" s="366">
        <v>6250</v>
      </c>
      <c r="U52" s="55" t="s">
        <v>946</v>
      </c>
      <c r="V52" s="55"/>
      <c r="W52" s="55"/>
      <c r="X52" s="366"/>
      <c r="Y52" s="55"/>
      <c r="Z52" s="55"/>
      <c r="AA52" s="56"/>
      <c r="AB52" s="55"/>
      <c r="AC52" s="366"/>
      <c r="AD52" s="366">
        <f t="shared" si="7"/>
        <v>21000</v>
      </c>
      <c r="AE52" s="366">
        <f t="shared" si="8"/>
        <v>-14000</v>
      </c>
      <c r="AF52" s="375"/>
      <c r="AG52" s="363"/>
    </row>
    <row r="53" spans="1:34" s="364" customFormat="1" ht="48" customHeight="1" x14ac:dyDescent="0.55000000000000004">
      <c r="A53" s="341">
        <v>49</v>
      </c>
      <c r="B53" s="349" t="s">
        <v>502</v>
      </c>
      <c r="C53" s="350">
        <f t="shared" si="9"/>
        <v>115</v>
      </c>
      <c r="D53" s="369" t="s">
        <v>74</v>
      </c>
      <c r="E53" s="369" t="s">
        <v>75</v>
      </c>
      <c r="F53" s="145">
        <v>3009411502</v>
      </c>
      <c r="G53" s="146" t="s">
        <v>30</v>
      </c>
      <c r="H53" s="108">
        <v>8000</v>
      </c>
      <c r="I53" s="147">
        <v>32000</v>
      </c>
      <c r="J53" s="359"/>
      <c r="K53" s="360">
        <f t="shared" si="6"/>
        <v>40000</v>
      </c>
      <c r="L53" s="349">
        <v>8000</v>
      </c>
      <c r="M53" s="109" t="s">
        <v>727</v>
      </c>
      <c r="N53" s="109"/>
      <c r="O53" s="109"/>
      <c r="P53" s="349">
        <v>32000</v>
      </c>
      <c r="Q53" s="108" t="s">
        <v>802</v>
      </c>
      <c r="R53" s="108"/>
      <c r="S53" s="108"/>
      <c r="T53" s="349"/>
      <c r="U53" s="108"/>
      <c r="V53" s="108"/>
      <c r="W53" s="108"/>
      <c r="X53" s="349"/>
      <c r="Y53" s="108"/>
      <c r="Z53" s="108"/>
      <c r="AA53" s="109"/>
      <c r="AB53" s="108"/>
      <c r="AC53" s="349"/>
      <c r="AD53" s="349">
        <f t="shared" si="7"/>
        <v>40000</v>
      </c>
      <c r="AE53" s="349">
        <f t="shared" si="8"/>
        <v>0</v>
      </c>
      <c r="AF53" s="365"/>
      <c r="AG53" s="363"/>
    </row>
    <row r="54" spans="1:34" s="364" customFormat="1" ht="48" customHeight="1" x14ac:dyDescent="0.55000000000000004">
      <c r="A54" s="341">
        <v>50</v>
      </c>
      <c r="B54" s="366" t="s">
        <v>502</v>
      </c>
      <c r="C54" s="367">
        <f t="shared" si="9"/>
        <v>116</v>
      </c>
      <c r="D54" s="372" t="s">
        <v>76</v>
      </c>
      <c r="E54" s="370" t="s">
        <v>77</v>
      </c>
      <c r="F54" s="139">
        <v>3476497543</v>
      </c>
      <c r="G54" s="140" t="s">
        <v>39</v>
      </c>
      <c r="H54" s="55">
        <v>8000</v>
      </c>
      <c r="I54" s="141">
        <v>17000</v>
      </c>
      <c r="J54" s="373">
        <v>50000</v>
      </c>
      <c r="K54" s="374">
        <f t="shared" si="6"/>
        <v>75000</v>
      </c>
      <c r="L54" s="366">
        <v>8000</v>
      </c>
      <c r="M54" s="56" t="s">
        <v>603</v>
      </c>
      <c r="N54" s="56"/>
      <c r="O54" s="56"/>
      <c r="P54" s="366">
        <v>8000</v>
      </c>
      <c r="Q54" s="55" t="s">
        <v>824</v>
      </c>
      <c r="R54" s="55"/>
      <c r="S54" s="55"/>
      <c r="T54" s="366">
        <v>5000</v>
      </c>
      <c r="U54" s="55" t="s">
        <v>997</v>
      </c>
      <c r="V54" s="55"/>
      <c r="W54" s="55"/>
      <c r="X54" s="366"/>
      <c r="Y54" s="55"/>
      <c r="Z54" s="55"/>
      <c r="AA54" s="56"/>
      <c r="AB54" s="55"/>
      <c r="AC54" s="366"/>
      <c r="AD54" s="366">
        <f t="shared" si="7"/>
        <v>21000</v>
      </c>
      <c r="AE54" s="366">
        <f t="shared" si="8"/>
        <v>-54000</v>
      </c>
      <c r="AF54" s="375"/>
      <c r="AG54" s="363"/>
    </row>
    <row r="55" spans="1:34" s="364" customFormat="1" ht="48" customHeight="1" x14ac:dyDescent="0.55000000000000004">
      <c r="A55" s="341">
        <v>51</v>
      </c>
      <c r="B55" s="366" t="s">
        <v>502</v>
      </c>
      <c r="C55" s="367">
        <f t="shared" si="9"/>
        <v>117</v>
      </c>
      <c r="D55" s="370" t="s">
        <v>78</v>
      </c>
      <c r="E55" s="370" t="s">
        <v>79</v>
      </c>
      <c r="F55" s="142">
        <v>3067699589</v>
      </c>
      <c r="G55" s="143" t="s">
        <v>40</v>
      </c>
      <c r="H55" s="55">
        <v>8000</v>
      </c>
      <c r="I55" s="141">
        <v>40200</v>
      </c>
      <c r="J55" s="373"/>
      <c r="K55" s="374">
        <f t="shared" si="6"/>
        <v>48200</v>
      </c>
      <c r="L55" s="366">
        <v>8000</v>
      </c>
      <c r="M55" s="56" t="s">
        <v>546</v>
      </c>
      <c r="N55" s="56"/>
      <c r="O55" s="56"/>
      <c r="P55" s="366">
        <v>10000</v>
      </c>
      <c r="Q55" s="55" t="s">
        <v>1078</v>
      </c>
      <c r="R55" s="55"/>
      <c r="S55" s="55"/>
      <c r="T55" s="366">
        <v>8000</v>
      </c>
      <c r="U55" s="55" t="s">
        <v>1079</v>
      </c>
      <c r="V55" s="55"/>
      <c r="W55" s="55"/>
      <c r="X55" s="366">
        <v>10000</v>
      </c>
      <c r="Y55" s="55" t="s">
        <v>1080</v>
      </c>
      <c r="Z55" s="55"/>
      <c r="AA55" s="56"/>
      <c r="AB55" s="55"/>
      <c r="AC55" s="366"/>
      <c r="AD55" s="366">
        <f t="shared" si="7"/>
        <v>36000</v>
      </c>
      <c r="AE55" s="366">
        <f t="shared" si="8"/>
        <v>-12200</v>
      </c>
      <c r="AF55" s="375"/>
      <c r="AG55" s="363"/>
      <c r="AH55" s="363"/>
    </row>
    <row r="56" spans="1:34" s="364" customFormat="1" ht="48" customHeight="1" x14ac:dyDescent="0.55000000000000004">
      <c r="A56" s="341">
        <v>52</v>
      </c>
      <c r="B56" s="366" t="s">
        <v>502</v>
      </c>
      <c r="C56" s="367">
        <f t="shared" si="9"/>
        <v>118</v>
      </c>
      <c r="D56" s="370" t="s">
        <v>80</v>
      </c>
      <c r="E56" s="370" t="s">
        <v>81</v>
      </c>
      <c r="F56" s="142">
        <v>3041368442</v>
      </c>
      <c r="G56" s="143" t="s">
        <v>140</v>
      </c>
      <c r="H56" s="55">
        <v>8000</v>
      </c>
      <c r="I56" s="141">
        <v>36000</v>
      </c>
      <c r="J56" s="373"/>
      <c r="K56" s="374">
        <f t="shared" si="6"/>
        <v>44000</v>
      </c>
      <c r="L56" s="366">
        <v>8000</v>
      </c>
      <c r="M56" s="56" t="s">
        <v>554</v>
      </c>
      <c r="N56" s="56"/>
      <c r="O56" s="56"/>
      <c r="P56" s="366">
        <v>10000</v>
      </c>
      <c r="Q56" s="55" t="s">
        <v>860</v>
      </c>
      <c r="R56" s="55"/>
      <c r="S56" s="55"/>
      <c r="T56" s="366">
        <v>15000</v>
      </c>
      <c r="U56" s="55">
        <v>911</v>
      </c>
      <c r="V56" s="55"/>
      <c r="W56" s="55"/>
      <c r="X56" s="366">
        <v>7000</v>
      </c>
      <c r="Y56" s="55" t="s">
        <v>1184</v>
      </c>
      <c r="Z56" s="55"/>
      <c r="AA56" s="56"/>
      <c r="AB56" s="55"/>
      <c r="AC56" s="366"/>
      <c r="AD56" s="366">
        <f t="shared" si="7"/>
        <v>40000</v>
      </c>
      <c r="AE56" s="366">
        <f t="shared" si="8"/>
        <v>-4000</v>
      </c>
      <c r="AF56" s="375"/>
      <c r="AG56" s="363"/>
    </row>
    <row r="57" spans="1:34" s="364" customFormat="1" ht="48" customHeight="1" x14ac:dyDescent="0.55000000000000004">
      <c r="A57" s="341">
        <v>53</v>
      </c>
      <c r="B57" s="366" t="s">
        <v>502</v>
      </c>
      <c r="C57" s="367">
        <f t="shared" si="9"/>
        <v>119</v>
      </c>
      <c r="D57" s="371" t="s">
        <v>82</v>
      </c>
      <c r="E57" s="371" t="s">
        <v>83</v>
      </c>
      <c r="F57" s="139">
        <v>3241528142</v>
      </c>
      <c r="G57" s="140" t="s">
        <v>30</v>
      </c>
      <c r="H57" s="55">
        <v>8000</v>
      </c>
      <c r="I57" s="141">
        <v>32000</v>
      </c>
      <c r="J57" s="373"/>
      <c r="K57" s="374">
        <f t="shared" si="6"/>
        <v>40000</v>
      </c>
      <c r="L57" s="366">
        <v>8000</v>
      </c>
      <c r="M57" s="56" t="s">
        <v>738</v>
      </c>
      <c r="N57" s="56"/>
      <c r="O57" s="56"/>
      <c r="P57" s="366">
        <v>8000</v>
      </c>
      <c r="Q57" s="55" t="s">
        <v>847</v>
      </c>
      <c r="R57" s="55"/>
      <c r="S57" s="55"/>
      <c r="T57" s="366">
        <v>8000</v>
      </c>
      <c r="U57" s="55" t="s">
        <v>980</v>
      </c>
      <c r="V57" s="55"/>
      <c r="W57" s="55"/>
      <c r="X57" s="366">
        <v>8000</v>
      </c>
      <c r="Y57" s="55" t="s">
        <v>1139</v>
      </c>
      <c r="Z57" s="55"/>
      <c r="AA57" s="56"/>
      <c r="AB57" s="55"/>
      <c r="AC57" s="366"/>
      <c r="AD57" s="366">
        <f t="shared" si="7"/>
        <v>32000</v>
      </c>
      <c r="AE57" s="366">
        <f t="shared" si="8"/>
        <v>-8000</v>
      </c>
      <c r="AF57" s="375"/>
      <c r="AG57" s="363"/>
    </row>
    <row r="58" spans="1:34" s="364" customFormat="1" ht="48" customHeight="1" x14ac:dyDescent="0.55000000000000004">
      <c r="A58" s="341">
        <v>54</v>
      </c>
      <c r="B58" s="366" t="s">
        <v>502</v>
      </c>
      <c r="C58" s="367">
        <f t="shared" si="9"/>
        <v>120</v>
      </c>
      <c r="D58" s="371" t="s">
        <v>84</v>
      </c>
      <c r="E58" s="368" t="s">
        <v>85</v>
      </c>
      <c r="F58" s="139">
        <v>3187074228</v>
      </c>
      <c r="G58" s="140" t="s">
        <v>141</v>
      </c>
      <c r="H58" s="55">
        <v>8000</v>
      </c>
      <c r="I58" s="141">
        <v>22000</v>
      </c>
      <c r="J58" s="373">
        <v>50000</v>
      </c>
      <c r="K58" s="374">
        <f t="shared" si="6"/>
        <v>80000</v>
      </c>
      <c r="L58" s="366">
        <v>8000</v>
      </c>
      <c r="M58" s="56" t="s">
        <v>623</v>
      </c>
      <c r="N58" s="56"/>
      <c r="O58" s="56"/>
      <c r="P58" s="366">
        <v>8000</v>
      </c>
      <c r="Q58" s="55" t="s">
        <v>829</v>
      </c>
      <c r="R58" s="55"/>
      <c r="S58" s="55"/>
      <c r="T58" s="366">
        <v>8000</v>
      </c>
      <c r="U58" s="55">
        <v>948</v>
      </c>
      <c r="V58" s="55"/>
      <c r="W58" s="55"/>
      <c r="X58" s="366">
        <v>6000</v>
      </c>
      <c r="Y58" s="55" t="s">
        <v>1117</v>
      </c>
      <c r="Z58" s="55"/>
      <c r="AA58" s="56"/>
      <c r="AB58" s="55"/>
      <c r="AC58" s="366"/>
      <c r="AD58" s="366">
        <f t="shared" si="7"/>
        <v>30000</v>
      </c>
      <c r="AE58" s="366">
        <f t="shared" si="8"/>
        <v>-50000</v>
      </c>
      <c r="AF58" s="375"/>
      <c r="AG58" s="363"/>
    </row>
    <row r="59" spans="1:34" s="239" customFormat="1" ht="51.75" customHeight="1" x14ac:dyDescent="0.5">
      <c r="A59" s="233">
        <v>55</v>
      </c>
      <c r="B59" s="257" t="s">
        <v>1072</v>
      </c>
      <c r="C59" s="258">
        <f t="shared" si="9"/>
        <v>121</v>
      </c>
      <c r="D59" s="259" t="s">
        <v>86</v>
      </c>
      <c r="E59" s="259" t="s">
        <v>87</v>
      </c>
      <c r="F59" s="139">
        <v>3003915547</v>
      </c>
      <c r="G59" s="140" t="s">
        <v>142</v>
      </c>
      <c r="H59" s="55">
        <v>8000</v>
      </c>
      <c r="I59" s="141">
        <v>22000</v>
      </c>
      <c r="J59" s="140">
        <v>50000</v>
      </c>
      <c r="K59" s="260">
        <f t="shared" si="6"/>
        <v>80000</v>
      </c>
      <c r="L59" s="257">
        <v>8000</v>
      </c>
      <c r="M59" s="56" t="s">
        <v>670</v>
      </c>
      <c r="N59" s="56"/>
      <c r="O59" s="56"/>
      <c r="P59" s="257">
        <v>10000</v>
      </c>
      <c r="Q59" s="55" t="s">
        <v>900</v>
      </c>
      <c r="R59" s="55"/>
      <c r="S59" s="55"/>
      <c r="T59" s="257">
        <v>7000</v>
      </c>
      <c r="U59" s="55">
        <v>919</v>
      </c>
      <c r="V59" s="55"/>
      <c r="W59" s="55"/>
      <c r="X59" s="257"/>
      <c r="Y59" s="55"/>
      <c r="Z59" s="55"/>
      <c r="AA59" s="56"/>
      <c r="AB59" s="55"/>
      <c r="AC59" s="257"/>
      <c r="AD59" s="257">
        <f t="shared" si="7"/>
        <v>25000</v>
      </c>
      <c r="AE59" s="257">
        <f t="shared" si="8"/>
        <v>-55000</v>
      </c>
      <c r="AF59" s="261"/>
      <c r="AG59" s="238"/>
    </row>
    <row r="60" spans="1:34" s="364" customFormat="1" ht="48" customHeight="1" x14ac:dyDescent="0.55000000000000004">
      <c r="A60" s="341">
        <v>56</v>
      </c>
      <c r="B60" s="366" t="s">
        <v>502</v>
      </c>
      <c r="C60" s="367">
        <f t="shared" si="9"/>
        <v>122</v>
      </c>
      <c r="D60" s="368" t="s">
        <v>88</v>
      </c>
      <c r="E60" s="368" t="s">
        <v>89</v>
      </c>
      <c r="F60" s="142">
        <v>3017125415</v>
      </c>
      <c r="G60" s="140" t="s">
        <v>28</v>
      </c>
      <c r="H60" s="55">
        <v>8000</v>
      </c>
      <c r="I60" s="141">
        <v>32000</v>
      </c>
      <c r="J60" s="373"/>
      <c r="K60" s="374">
        <f t="shared" si="6"/>
        <v>40000</v>
      </c>
      <c r="L60" s="366">
        <v>4000</v>
      </c>
      <c r="M60" s="56" t="s">
        <v>596</v>
      </c>
      <c r="N60" s="56"/>
      <c r="O60" s="56"/>
      <c r="P60" s="366">
        <v>8000</v>
      </c>
      <c r="Q60" s="55" t="s">
        <v>815</v>
      </c>
      <c r="R60" s="55"/>
      <c r="S60" s="55"/>
      <c r="T60" s="366">
        <v>9500</v>
      </c>
      <c r="U60" s="55" t="s">
        <v>1004</v>
      </c>
      <c r="V60" s="55"/>
      <c r="W60" s="55"/>
      <c r="X60" s="366">
        <v>8500</v>
      </c>
      <c r="Y60" s="55" t="s">
        <v>1086</v>
      </c>
      <c r="Z60" s="55"/>
      <c r="AA60" s="56"/>
      <c r="AB60" s="55"/>
      <c r="AC60" s="366"/>
      <c r="AD60" s="366">
        <f t="shared" si="7"/>
        <v>30000</v>
      </c>
      <c r="AE60" s="366">
        <f t="shared" si="8"/>
        <v>-10000</v>
      </c>
      <c r="AF60" s="375"/>
      <c r="AG60" s="363"/>
    </row>
    <row r="61" spans="1:34" s="364" customFormat="1" ht="48" customHeight="1" x14ac:dyDescent="0.55000000000000004">
      <c r="A61" s="341">
        <v>57</v>
      </c>
      <c r="B61" s="366" t="s">
        <v>502</v>
      </c>
      <c r="C61" s="367">
        <f t="shared" si="9"/>
        <v>123</v>
      </c>
      <c r="D61" s="370" t="s">
        <v>90</v>
      </c>
      <c r="E61" s="370" t="s">
        <v>91</v>
      </c>
      <c r="F61" s="139">
        <v>3320666820</v>
      </c>
      <c r="G61" s="140" t="s">
        <v>24</v>
      </c>
      <c r="H61" s="55">
        <v>8000</v>
      </c>
      <c r="I61" s="141">
        <v>40200</v>
      </c>
      <c r="J61" s="373"/>
      <c r="K61" s="374">
        <f t="shared" si="6"/>
        <v>48200</v>
      </c>
      <c r="L61" s="366">
        <v>8000</v>
      </c>
      <c r="M61" s="56" t="s">
        <v>535</v>
      </c>
      <c r="N61" s="56"/>
      <c r="O61" s="56"/>
      <c r="P61" s="366">
        <v>30000</v>
      </c>
      <c r="Q61" s="55" t="s">
        <v>844</v>
      </c>
      <c r="R61" s="55"/>
      <c r="S61" s="55"/>
      <c r="T61" s="366"/>
      <c r="U61" s="55"/>
      <c r="V61" s="55"/>
      <c r="W61" s="55"/>
      <c r="X61" s="366"/>
      <c r="Y61" s="55"/>
      <c r="Z61" s="55"/>
      <c r="AA61" s="56"/>
      <c r="AB61" s="55"/>
      <c r="AC61" s="366"/>
      <c r="AD61" s="366">
        <f t="shared" si="7"/>
        <v>38000</v>
      </c>
      <c r="AE61" s="366">
        <f t="shared" si="8"/>
        <v>-10200</v>
      </c>
      <c r="AF61" s="375"/>
      <c r="AG61" s="363"/>
      <c r="AH61" s="363"/>
    </row>
    <row r="62" spans="1:34" s="364" customFormat="1" ht="48" customHeight="1" x14ac:dyDescent="0.55000000000000004">
      <c r="A62" s="341">
        <v>58</v>
      </c>
      <c r="B62" s="366" t="s">
        <v>502</v>
      </c>
      <c r="C62" s="367">
        <f t="shared" si="9"/>
        <v>124</v>
      </c>
      <c r="D62" s="370" t="s">
        <v>94</v>
      </c>
      <c r="E62" s="368" t="s">
        <v>95</v>
      </c>
      <c r="F62" s="139">
        <v>3457909453</v>
      </c>
      <c r="G62" s="140" t="s">
        <v>26</v>
      </c>
      <c r="H62" s="55">
        <v>8000</v>
      </c>
      <c r="I62" s="141">
        <v>12000</v>
      </c>
      <c r="J62" s="373">
        <v>50000</v>
      </c>
      <c r="K62" s="374">
        <f t="shared" si="6"/>
        <v>70000</v>
      </c>
      <c r="L62" s="366">
        <v>8000</v>
      </c>
      <c r="M62" s="56" t="s">
        <v>647</v>
      </c>
      <c r="N62" s="56"/>
      <c r="O62" s="56"/>
      <c r="P62" s="366">
        <v>12000</v>
      </c>
      <c r="Q62" s="55" t="s">
        <v>788</v>
      </c>
      <c r="R62" s="55">
        <v>15000</v>
      </c>
      <c r="S62" s="55"/>
      <c r="T62" s="366"/>
      <c r="U62" s="55"/>
      <c r="V62" s="55"/>
      <c r="W62" s="55"/>
      <c r="X62" s="366"/>
      <c r="Y62" s="55"/>
      <c r="Z62" s="55"/>
      <c r="AA62" s="56"/>
      <c r="AB62" s="55"/>
      <c r="AC62" s="366"/>
      <c r="AD62" s="366">
        <f t="shared" si="7"/>
        <v>35000</v>
      </c>
      <c r="AE62" s="366">
        <f t="shared" si="8"/>
        <v>-35000</v>
      </c>
      <c r="AF62" s="375"/>
      <c r="AG62" s="363"/>
    </row>
    <row r="63" spans="1:34" s="364" customFormat="1" ht="48" customHeight="1" x14ac:dyDescent="0.55000000000000004">
      <c r="A63" s="341">
        <v>59</v>
      </c>
      <c r="B63" s="366" t="s">
        <v>502</v>
      </c>
      <c r="C63" s="367">
        <f t="shared" si="9"/>
        <v>125</v>
      </c>
      <c r="D63" s="371" t="s">
        <v>96</v>
      </c>
      <c r="E63" s="370" t="s">
        <v>97</v>
      </c>
      <c r="F63" s="139">
        <v>3444977385</v>
      </c>
      <c r="G63" s="140" t="s">
        <v>39</v>
      </c>
      <c r="H63" s="55">
        <v>8000</v>
      </c>
      <c r="I63" s="141">
        <v>17000</v>
      </c>
      <c r="J63" s="373">
        <v>50000</v>
      </c>
      <c r="K63" s="374">
        <f t="shared" si="6"/>
        <v>75000</v>
      </c>
      <c r="L63" s="366">
        <v>8000</v>
      </c>
      <c r="M63" s="56" t="s">
        <v>602</v>
      </c>
      <c r="N63" s="56"/>
      <c r="O63" s="56"/>
      <c r="P63" s="366">
        <v>6750</v>
      </c>
      <c r="Q63" s="55" t="s">
        <v>848</v>
      </c>
      <c r="R63" s="55"/>
      <c r="S63" s="55"/>
      <c r="T63" s="366">
        <v>6750</v>
      </c>
      <c r="U63" s="55" t="s">
        <v>973</v>
      </c>
      <c r="V63" s="55"/>
      <c r="W63" s="55"/>
      <c r="X63" s="366">
        <v>4000</v>
      </c>
      <c r="Y63" s="55" t="s">
        <v>1100</v>
      </c>
      <c r="Z63" s="55"/>
      <c r="AA63" s="56"/>
      <c r="AB63" s="55"/>
      <c r="AC63" s="366"/>
      <c r="AD63" s="366">
        <f t="shared" si="7"/>
        <v>25500</v>
      </c>
      <c r="AE63" s="366">
        <f t="shared" si="8"/>
        <v>-49500</v>
      </c>
      <c r="AF63" s="375"/>
      <c r="AG63" s="363"/>
    </row>
    <row r="64" spans="1:34" s="364" customFormat="1" ht="48" customHeight="1" x14ac:dyDescent="0.55000000000000004">
      <c r="A64" s="341">
        <v>60</v>
      </c>
      <c r="B64" s="366" t="s">
        <v>502</v>
      </c>
      <c r="C64" s="367">
        <f t="shared" si="9"/>
        <v>126</v>
      </c>
      <c r="D64" s="370" t="s">
        <v>98</v>
      </c>
      <c r="E64" s="370" t="s">
        <v>99</v>
      </c>
      <c r="F64" s="139">
        <v>3401456000</v>
      </c>
      <c r="G64" s="140" t="s">
        <v>143</v>
      </c>
      <c r="H64" s="55">
        <v>8000</v>
      </c>
      <c r="I64" s="141">
        <v>40000</v>
      </c>
      <c r="J64" s="373"/>
      <c r="K64" s="374">
        <f t="shared" si="6"/>
        <v>48000</v>
      </c>
      <c r="L64" s="366">
        <v>8000</v>
      </c>
      <c r="M64" s="56" t="s">
        <v>541</v>
      </c>
      <c r="N64" s="56"/>
      <c r="O64" s="56"/>
      <c r="P64" s="366">
        <v>5000</v>
      </c>
      <c r="Q64" s="55" t="s">
        <v>820</v>
      </c>
      <c r="R64" s="55"/>
      <c r="S64" s="55"/>
      <c r="T64" s="366">
        <v>12000</v>
      </c>
      <c r="U64" s="55">
        <v>931</v>
      </c>
      <c r="V64" s="55"/>
      <c r="W64" s="55"/>
      <c r="X64" s="366">
        <v>7000</v>
      </c>
      <c r="Y64" s="55" t="s">
        <v>1071</v>
      </c>
      <c r="Z64" s="55"/>
      <c r="AA64" s="56"/>
      <c r="AB64" s="55"/>
      <c r="AC64" s="366"/>
      <c r="AD64" s="366">
        <f t="shared" si="7"/>
        <v>32000</v>
      </c>
      <c r="AE64" s="366">
        <f t="shared" si="8"/>
        <v>-16000</v>
      </c>
      <c r="AF64" s="375"/>
      <c r="AG64" s="363"/>
    </row>
    <row r="65" spans="1:34" s="364" customFormat="1" ht="48" customHeight="1" x14ac:dyDescent="0.55000000000000004">
      <c r="A65" s="341">
        <v>61</v>
      </c>
      <c r="B65" s="366" t="s">
        <v>502</v>
      </c>
      <c r="C65" s="367">
        <f t="shared" si="9"/>
        <v>127</v>
      </c>
      <c r="D65" s="371" t="s">
        <v>100</v>
      </c>
      <c r="E65" s="370" t="s">
        <v>101</v>
      </c>
      <c r="F65" s="139">
        <v>3077011441</v>
      </c>
      <c r="G65" s="140" t="s">
        <v>141</v>
      </c>
      <c r="H65" s="55">
        <v>8000</v>
      </c>
      <c r="I65" s="141">
        <v>22000</v>
      </c>
      <c r="J65" s="373">
        <v>54000</v>
      </c>
      <c r="K65" s="374">
        <f t="shared" si="6"/>
        <v>84000</v>
      </c>
      <c r="L65" s="366">
        <v>8000</v>
      </c>
      <c r="M65" s="56" t="s">
        <v>615</v>
      </c>
      <c r="N65" s="56"/>
      <c r="O65" s="56"/>
      <c r="P65" s="366">
        <v>32000</v>
      </c>
      <c r="Q65" s="55" t="s">
        <v>780</v>
      </c>
      <c r="R65" s="55">
        <v>16000</v>
      </c>
      <c r="S65" s="55"/>
      <c r="T65" s="366"/>
      <c r="U65" s="55"/>
      <c r="V65" s="55">
        <v>16000</v>
      </c>
      <c r="W65" s="55" t="s">
        <v>1164</v>
      </c>
      <c r="X65" s="366"/>
      <c r="Y65" s="55"/>
      <c r="Z65" s="55"/>
      <c r="AA65" s="56"/>
      <c r="AB65" s="55"/>
      <c r="AC65" s="366"/>
      <c r="AD65" s="366">
        <f t="shared" si="7"/>
        <v>72000</v>
      </c>
      <c r="AE65" s="366">
        <f t="shared" si="8"/>
        <v>-12000</v>
      </c>
      <c r="AF65" s="375"/>
      <c r="AG65" s="363"/>
    </row>
    <row r="66" spans="1:34" s="364" customFormat="1" ht="48" customHeight="1" x14ac:dyDescent="0.55000000000000004">
      <c r="A66" s="341">
        <v>62</v>
      </c>
      <c r="B66" s="366" t="s">
        <v>502</v>
      </c>
      <c r="C66" s="367">
        <f t="shared" si="9"/>
        <v>128</v>
      </c>
      <c r="D66" s="371" t="s">
        <v>102</v>
      </c>
      <c r="E66" s="371" t="s">
        <v>103</v>
      </c>
      <c r="F66" s="139">
        <v>3007245142</v>
      </c>
      <c r="G66" s="140" t="s">
        <v>30</v>
      </c>
      <c r="H66" s="55">
        <v>8000</v>
      </c>
      <c r="I66" s="141">
        <v>32000</v>
      </c>
      <c r="J66" s="373"/>
      <c r="K66" s="374">
        <f t="shared" si="6"/>
        <v>40000</v>
      </c>
      <c r="L66" s="366">
        <v>8000</v>
      </c>
      <c r="M66" s="56" t="s">
        <v>736</v>
      </c>
      <c r="N66" s="56"/>
      <c r="O66" s="56"/>
      <c r="P66" s="366"/>
      <c r="Q66" s="55"/>
      <c r="R66" s="55"/>
      <c r="S66" s="55"/>
      <c r="T66" s="366"/>
      <c r="U66" s="55"/>
      <c r="V66" s="55"/>
      <c r="W66" s="55"/>
      <c r="X66" s="366">
        <v>8000</v>
      </c>
      <c r="Y66" s="55" t="s">
        <v>1153</v>
      </c>
      <c r="Z66" s="55"/>
      <c r="AA66" s="56"/>
      <c r="AB66" s="55"/>
      <c r="AC66" s="366"/>
      <c r="AD66" s="366">
        <f t="shared" si="7"/>
        <v>16000</v>
      </c>
      <c r="AE66" s="366">
        <f t="shared" si="8"/>
        <v>-24000</v>
      </c>
      <c r="AF66" s="375" t="s">
        <v>1031</v>
      </c>
      <c r="AG66" s="363"/>
    </row>
    <row r="67" spans="1:34" s="364" customFormat="1" ht="48" customHeight="1" x14ac:dyDescent="0.55000000000000004">
      <c r="A67" s="341">
        <v>63</v>
      </c>
      <c r="B67" s="366" t="s">
        <v>502</v>
      </c>
      <c r="C67" s="367">
        <f t="shared" si="9"/>
        <v>129</v>
      </c>
      <c r="D67" s="372" t="s">
        <v>104</v>
      </c>
      <c r="E67" s="370" t="s">
        <v>51</v>
      </c>
      <c r="F67" s="139">
        <v>3447017790</v>
      </c>
      <c r="G67" s="140" t="s">
        <v>27</v>
      </c>
      <c r="H67" s="55">
        <v>8000</v>
      </c>
      <c r="I67" s="141">
        <v>32000</v>
      </c>
      <c r="J67" s="373"/>
      <c r="K67" s="374">
        <f t="shared" si="6"/>
        <v>40000</v>
      </c>
      <c r="L67" s="366">
        <v>8000</v>
      </c>
      <c r="M67" s="56" t="s">
        <v>592</v>
      </c>
      <c r="N67" s="56"/>
      <c r="O67" s="56"/>
      <c r="P67" s="366">
        <v>8000</v>
      </c>
      <c r="Q67" s="55" t="s">
        <v>895</v>
      </c>
      <c r="R67" s="55"/>
      <c r="S67" s="55"/>
      <c r="T67" s="366">
        <v>8000</v>
      </c>
      <c r="U67" s="55" t="s">
        <v>992</v>
      </c>
      <c r="V67" s="55"/>
      <c r="W67" s="55"/>
      <c r="X67" s="366">
        <v>9000</v>
      </c>
      <c r="Y67" s="55" t="s">
        <v>1154</v>
      </c>
      <c r="Z67" s="55"/>
      <c r="AA67" s="56"/>
      <c r="AB67" s="55"/>
      <c r="AC67" s="366"/>
      <c r="AD67" s="366">
        <f t="shared" si="7"/>
        <v>33000</v>
      </c>
      <c r="AE67" s="366">
        <f t="shared" si="8"/>
        <v>-7000</v>
      </c>
      <c r="AF67" s="375"/>
      <c r="AG67" s="363"/>
    </row>
    <row r="68" spans="1:34" s="364" customFormat="1" ht="48" customHeight="1" x14ac:dyDescent="0.55000000000000004">
      <c r="A68" s="341">
        <v>64</v>
      </c>
      <c r="B68" s="366" t="s">
        <v>502</v>
      </c>
      <c r="C68" s="367">
        <f t="shared" si="9"/>
        <v>130</v>
      </c>
      <c r="D68" s="368" t="s">
        <v>105</v>
      </c>
      <c r="E68" s="368" t="s">
        <v>106</v>
      </c>
      <c r="F68" s="139"/>
      <c r="G68" s="140" t="s">
        <v>27</v>
      </c>
      <c r="H68" s="55">
        <v>8000</v>
      </c>
      <c r="I68" s="141">
        <v>27000</v>
      </c>
      <c r="J68" s="373"/>
      <c r="K68" s="374">
        <f t="shared" si="6"/>
        <v>35000</v>
      </c>
      <c r="L68" s="366">
        <v>8000</v>
      </c>
      <c r="M68" s="56" t="s">
        <v>937</v>
      </c>
      <c r="N68" s="56"/>
      <c r="O68" s="56"/>
      <c r="P68" s="366">
        <v>8000</v>
      </c>
      <c r="Q68" s="55" t="s">
        <v>818</v>
      </c>
      <c r="R68" s="55"/>
      <c r="S68" s="55"/>
      <c r="T68" s="366">
        <v>7000</v>
      </c>
      <c r="U68" s="55" t="s">
        <v>936</v>
      </c>
      <c r="V68" s="55"/>
      <c r="W68" s="55"/>
      <c r="X68" s="366">
        <v>10000</v>
      </c>
      <c r="Y68" s="55" t="s">
        <v>1063</v>
      </c>
      <c r="Z68" s="55"/>
      <c r="AA68" s="56"/>
      <c r="AB68" s="55"/>
      <c r="AC68" s="366"/>
      <c r="AD68" s="366">
        <f t="shared" si="7"/>
        <v>33000</v>
      </c>
      <c r="AE68" s="366">
        <f t="shared" si="8"/>
        <v>-2000</v>
      </c>
      <c r="AF68" s="375"/>
      <c r="AG68" s="363"/>
    </row>
    <row r="69" spans="1:34" s="364" customFormat="1" ht="48" customHeight="1" x14ac:dyDescent="0.55000000000000004">
      <c r="A69" s="341">
        <v>65</v>
      </c>
      <c r="B69" s="366" t="s">
        <v>502</v>
      </c>
      <c r="C69" s="367">
        <f t="shared" si="9"/>
        <v>131</v>
      </c>
      <c r="D69" s="372" t="s">
        <v>107</v>
      </c>
      <c r="E69" s="370" t="s">
        <v>108</v>
      </c>
      <c r="F69" s="142">
        <v>3039510207</v>
      </c>
      <c r="G69" s="143" t="s">
        <v>21</v>
      </c>
      <c r="H69" s="55">
        <v>8000</v>
      </c>
      <c r="I69" s="141">
        <v>37000</v>
      </c>
      <c r="J69" s="373"/>
      <c r="K69" s="374">
        <f t="shared" si="6"/>
        <v>45000</v>
      </c>
      <c r="L69" s="366">
        <v>8000</v>
      </c>
      <c r="M69" s="56" t="s">
        <v>549</v>
      </c>
      <c r="N69" s="56"/>
      <c r="O69" s="56"/>
      <c r="P69" s="366">
        <v>9250</v>
      </c>
      <c r="Q69" s="55" t="s">
        <v>838</v>
      </c>
      <c r="R69" s="55"/>
      <c r="S69" s="55"/>
      <c r="T69" s="366">
        <v>9250</v>
      </c>
      <c r="U69" s="55" t="s">
        <v>943</v>
      </c>
      <c r="V69" s="55"/>
      <c r="W69" s="55"/>
      <c r="X69" s="366">
        <v>9200</v>
      </c>
      <c r="Y69" s="55" t="s">
        <v>1089</v>
      </c>
      <c r="Z69" s="55"/>
      <c r="AA69" s="56"/>
      <c r="AB69" s="55"/>
      <c r="AC69" s="366"/>
      <c r="AD69" s="366">
        <f t="shared" si="7"/>
        <v>35700</v>
      </c>
      <c r="AE69" s="366">
        <f t="shared" si="8"/>
        <v>-9300</v>
      </c>
      <c r="AF69" s="375"/>
      <c r="AG69" s="363"/>
    </row>
    <row r="70" spans="1:34" s="364" customFormat="1" ht="48" customHeight="1" x14ac:dyDescent="0.55000000000000004">
      <c r="A70" s="341">
        <v>66</v>
      </c>
      <c r="B70" s="366" t="s">
        <v>502</v>
      </c>
      <c r="C70" s="367">
        <f t="shared" si="9"/>
        <v>132</v>
      </c>
      <c r="D70" s="372" t="s">
        <v>109</v>
      </c>
      <c r="E70" s="370" t="s">
        <v>110</v>
      </c>
      <c r="F70" s="139">
        <v>3413617541</v>
      </c>
      <c r="G70" s="140"/>
      <c r="H70" s="55">
        <v>8000</v>
      </c>
      <c r="I70" s="141">
        <v>22000</v>
      </c>
      <c r="J70" s="373">
        <v>50000</v>
      </c>
      <c r="K70" s="374">
        <f t="shared" ref="K70:K101" si="10">I70+J70+H70</f>
        <v>80000</v>
      </c>
      <c r="L70" s="366">
        <v>8000</v>
      </c>
      <c r="M70" s="56" t="s">
        <v>671</v>
      </c>
      <c r="N70" s="56"/>
      <c r="O70" s="56"/>
      <c r="P70" s="366"/>
      <c r="Q70" s="55"/>
      <c r="R70" s="55">
        <f>18000+12000</f>
        <v>30000</v>
      </c>
      <c r="S70" s="55"/>
      <c r="T70" s="366"/>
      <c r="U70" s="55"/>
      <c r="V70" s="55"/>
      <c r="W70" s="55"/>
      <c r="X70" s="366">
        <v>10000</v>
      </c>
      <c r="Y70" s="55" t="s">
        <v>1134</v>
      </c>
      <c r="Z70" s="55"/>
      <c r="AA70" s="56"/>
      <c r="AB70" s="55"/>
      <c r="AC70" s="366"/>
      <c r="AD70" s="366">
        <f t="shared" si="7"/>
        <v>48000</v>
      </c>
      <c r="AE70" s="366">
        <f t="shared" si="8"/>
        <v>-32000</v>
      </c>
      <c r="AF70" s="375"/>
      <c r="AG70" s="363"/>
    </row>
    <row r="71" spans="1:34" s="364" customFormat="1" ht="48" customHeight="1" x14ac:dyDescent="0.55000000000000004">
      <c r="A71" s="341">
        <v>67</v>
      </c>
      <c r="B71" s="366" t="s">
        <v>502</v>
      </c>
      <c r="C71" s="367">
        <f t="shared" si="9"/>
        <v>133</v>
      </c>
      <c r="D71" s="370" t="s">
        <v>111</v>
      </c>
      <c r="E71" s="370" t="s">
        <v>112</v>
      </c>
      <c r="F71" s="142">
        <v>3457190471</v>
      </c>
      <c r="G71" s="143" t="s">
        <v>139</v>
      </c>
      <c r="H71" s="55">
        <v>8000</v>
      </c>
      <c r="I71" s="141">
        <v>37000</v>
      </c>
      <c r="J71" s="373"/>
      <c r="K71" s="374">
        <f t="shared" si="10"/>
        <v>45000</v>
      </c>
      <c r="L71" s="366">
        <v>8000</v>
      </c>
      <c r="M71" s="56" t="s">
        <v>760</v>
      </c>
      <c r="N71" s="56"/>
      <c r="O71" s="56"/>
      <c r="P71" s="366"/>
      <c r="Q71" s="55"/>
      <c r="R71" s="55"/>
      <c r="S71" s="55"/>
      <c r="T71" s="366">
        <v>8000</v>
      </c>
      <c r="U71" s="55" t="s">
        <v>1176</v>
      </c>
      <c r="V71" s="55"/>
      <c r="W71" s="55"/>
      <c r="X71" s="366"/>
      <c r="Y71" s="55"/>
      <c r="Z71" s="55"/>
      <c r="AA71" s="56"/>
      <c r="AB71" s="55"/>
      <c r="AC71" s="366"/>
      <c r="AD71" s="366">
        <f t="shared" si="7"/>
        <v>16000</v>
      </c>
      <c r="AE71" s="366">
        <f t="shared" si="8"/>
        <v>-29000</v>
      </c>
      <c r="AF71" s="375"/>
      <c r="AG71" s="363"/>
    </row>
    <row r="72" spans="1:34" s="364" customFormat="1" ht="48" customHeight="1" x14ac:dyDescent="0.55000000000000004">
      <c r="A72" s="341">
        <v>68</v>
      </c>
      <c r="B72" s="366" t="s">
        <v>502</v>
      </c>
      <c r="C72" s="367">
        <f t="shared" si="9"/>
        <v>134</v>
      </c>
      <c r="D72" s="372" t="s">
        <v>113</v>
      </c>
      <c r="E72" s="370" t="s">
        <v>51</v>
      </c>
      <c r="F72" s="139">
        <v>3447017790</v>
      </c>
      <c r="G72" s="140" t="s">
        <v>27</v>
      </c>
      <c r="H72" s="55">
        <v>8000</v>
      </c>
      <c r="I72" s="141">
        <v>32000</v>
      </c>
      <c r="J72" s="373"/>
      <c r="K72" s="374">
        <f t="shared" si="10"/>
        <v>40000</v>
      </c>
      <c r="L72" s="366">
        <v>8000</v>
      </c>
      <c r="M72" s="56" t="s">
        <v>591</v>
      </c>
      <c r="N72" s="56"/>
      <c r="O72" s="56"/>
      <c r="P72" s="366">
        <v>9000</v>
      </c>
      <c r="Q72" s="55" t="s">
        <v>896</v>
      </c>
      <c r="R72" s="55"/>
      <c r="S72" s="55"/>
      <c r="T72" s="366">
        <v>8000</v>
      </c>
      <c r="U72" s="55" t="s">
        <v>993</v>
      </c>
      <c r="V72" s="55"/>
      <c r="W72" s="55"/>
      <c r="X72" s="366">
        <v>7000</v>
      </c>
      <c r="Y72" s="55" t="s">
        <v>1155</v>
      </c>
      <c r="Z72" s="55"/>
      <c r="AA72" s="56"/>
      <c r="AB72" s="55"/>
      <c r="AC72" s="366"/>
      <c r="AD72" s="366">
        <f t="shared" si="7"/>
        <v>32000</v>
      </c>
      <c r="AE72" s="366">
        <f t="shared" si="8"/>
        <v>-8000</v>
      </c>
      <c r="AF72" s="375"/>
      <c r="AG72" s="363"/>
      <c r="AH72" s="363"/>
    </row>
    <row r="73" spans="1:34" s="364" customFormat="1" ht="48" customHeight="1" x14ac:dyDescent="0.55000000000000004">
      <c r="A73" s="341">
        <v>69</v>
      </c>
      <c r="B73" s="366" t="s">
        <v>502</v>
      </c>
      <c r="C73" s="367">
        <f t="shared" si="9"/>
        <v>135</v>
      </c>
      <c r="D73" s="368" t="s">
        <v>114</v>
      </c>
      <c r="E73" s="368" t="s">
        <v>77</v>
      </c>
      <c r="F73" s="142">
        <v>3155669469</v>
      </c>
      <c r="G73" s="143" t="s">
        <v>139</v>
      </c>
      <c r="H73" s="55">
        <v>8000</v>
      </c>
      <c r="I73" s="141">
        <v>32000</v>
      </c>
      <c r="J73" s="373"/>
      <c r="K73" s="374">
        <f t="shared" si="10"/>
        <v>40000</v>
      </c>
      <c r="L73" s="366">
        <v>4000</v>
      </c>
      <c r="M73" s="56" t="s">
        <v>652</v>
      </c>
      <c r="N73" s="56"/>
      <c r="O73" s="56"/>
      <c r="P73" s="366">
        <v>9000</v>
      </c>
      <c r="Q73" s="55" t="s">
        <v>870</v>
      </c>
      <c r="R73" s="55"/>
      <c r="S73" s="55"/>
      <c r="T73" s="366">
        <v>8000</v>
      </c>
      <c r="U73" s="55" t="s">
        <v>1175</v>
      </c>
      <c r="V73" s="55"/>
      <c r="W73" s="55"/>
      <c r="X73" s="366"/>
      <c r="Y73" s="55"/>
      <c r="Z73" s="55"/>
      <c r="AA73" s="56"/>
      <c r="AB73" s="55"/>
      <c r="AC73" s="366"/>
      <c r="AD73" s="366">
        <f t="shared" si="7"/>
        <v>21000</v>
      </c>
      <c r="AE73" s="366">
        <f t="shared" si="8"/>
        <v>-19000</v>
      </c>
      <c r="AF73" s="375"/>
      <c r="AG73" s="363"/>
    </row>
    <row r="74" spans="1:34" s="364" customFormat="1" ht="48" customHeight="1" x14ac:dyDescent="0.55000000000000004">
      <c r="A74" s="341">
        <v>70</v>
      </c>
      <c r="B74" s="366" t="s">
        <v>502</v>
      </c>
      <c r="C74" s="367">
        <f t="shared" si="9"/>
        <v>136</v>
      </c>
      <c r="D74" s="368" t="s">
        <v>115</v>
      </c>
      <c r="E74" s="368" t="s">
        <v>116</v>
      </c>
      <c r="F74" s="139"/>
      <c r="G74" s="140" t="s">
        <v>39</v>
      </c>
      <c r="H74" s="55">
        <v>8000</v>
      </c>
      <c r="I74" s="141">
        <v>22000</v>
      </c>
      <c r="J74" s="373">
        <v>50000</v>
      </c>
      <c r="K74" s="374">
        <f t="shared" si="10"/>
        <v>80000</v>
      </c>
      <c r="L74" s="366">
        <v>8000</v>
      </c>
      <c r="M74" s="56" t="s">
        <v>654</v>
      </c>
      <c r="N74" s="56"/>
      <c r="O74" s="56"/>
      <c r="P74" s="366"/>
      <c r="Q74" s="55"/>
      <c r="R74" s="55">
        <f>7000+21000</f>
        <v>28000</v>
      </c>
      <c r="S74" s="55"/>
      <c r="T74" s="366">
        <v>21000</v>
      </c>
      <c r="U74" s="55"/>
      <c r="V74" s="55"/>
      <c r="W74" s="55"/>
      <c r="X74" s="366"/>
      <c r="Y74" s="55"/>
      <c r="Z74" s="55"/>
      <c r="AA74" s="56"/>
      <c r="AB74" s="55"/>
      <c r="AC74" s="366"/>
      <c r="AD74" s="366">
        <f t="shared" si="7"/>
        <v>57000</v>
      </c>
      <c r="AE74" s="366">
        <f t="shared" si="8"/>
        <v>-23000</v>
      </c>
      <c r="AF74" s="375"/>
      <c r="AG74" s="363"/>
    </row>
    <row r="75" spans="1:34" s="364" customFormat="1" ht="48" customHeight="1" x14ac:dyDescent="0.55000000000000004">
      <c r="A75" s="341">
        <v>71</v>
      </c>
      <c r="B75" s="366" t="s">
        <v>502</v>
      </c>
      <c r="C75" s="367">
        <f t="shared" si="9"/>
        <v>137</v>
      </c>
      <c r="D75" s="372" t="s">
        <v>117</v>
      </c>
      <c r="E75" s="370" t="s">
        <v>118</v>
      </c>
      <c r="F75" s="139">
        <v>3414606713</v>
      </c>
      <c r="G75" s="140" t="s">
        <v>141</v>
      </c>
      <c r="H75" s="55">
        <v>8000</v>
      </c>
      <c r="I75" s="141">
        <v>32000</v>
      </c>
      <c r="J75" s="373"/>
      <c r="K75" s="374">
        <f t="shared" si="10"/>
        <v>40000</v>
      </c>
      <c r="L75" s="366">
        <v>8000</v>
      </c>
      <c r="M75" s="56" t="s">
        <v>605</v>
      </c>
      <c r="N75" s="56"/>
      <c r="O75" s="56"/>
      <c r="P75" s="366">
        <v>12000</v>
      </c>
      <c r="Q75" s="55" t="s">
        <v>777</v>
      </c>
      <c r="R75" s="55"/>
      <c r="S75" s="55"/>
      <c r="T75" s="366">
        <v>6670</v>
      </c>
      <c r="U75" s="55" t="s">
        <v>1014</v>
      </c>
      <c r="V75" s="55"/>
      <c r="W75" s="55"/>
      <c r="X75" s="366"/>
      <c r="Y75" s="55"/>
      <c r="Z75" s="55"/>
      <c r="AA75" s="56"/>
      <c r="AB75" s="55"/>
      <c r="AC75" s="366"/>
      <c r="AD75" s="366">
        <f t="shared" si="7"/>
        <v>26670</v>
      </c>
      <c r="AE75" s="366">
        <f t="shared" si="8"/>
        <v>-13330</v>
      </c>
      <c r="AF75" s="375"/>
      <c r="AG75" s="363"/>
    </row>
    <row r="76" spans="1:34" s="364" customFormat="1" ht="48" customHeight="1" x14ac:dyDescent="0.55000000000000004">
      <c r="A76" s="341">
        <v>72</v>
      </c>
      <c r="B76" s="366" t="s">
        <v>502</v>
      </c>
      <c r="C76" s="367">
        <f t="shared" si="9"/>
        <v>138</v>
      </c>
      <c r="D76" s="376" t="s">
        <v>119</v>
      </c>
      <c r="E76" s="376" t="s">
        <v>120</v>
      </c>
      <c r="F76" s="142">
        <v>3117538143</v>
      </c>
      <c r="G76" s="143" t="s">
        <v>141</v>
      </c>
      <c r="H76" s="55">
        <v>8000</v>
      </c>
      <c r="I76" s="141">
        <v>22000</v>
      </c>
      <c r="J76" s="373">
        <v>50000</v>
      </c>
      <c r="K76" s="374">
        <f t="shared" si="10"/>
        <v>80000</v>
      </c>
      <c r="L76" s="366">
        <v>8000</v>
      </c>
      <c r="M76" s="56" t="s">
        <v>613</v>
      </c>
      <c r="N76" s="56"/>
      <c r="O76" s="56"/>
      <c r="P76" s="366">
        <f>10000+12000</f>
        <v>22000</v>
      </c>
      <c r="Q76" s="55" t="s">
        <v>891</v>
      </c>
      <c r="R76" s="55">
        <v>10000</v>
      </c>
      <c r="S76" s="55"/>
      <c r="T76" s="366"/>
      <c r="U76" s="55"/>
      <c r="V76" s="55"/>
      <c r="W76" s="55"/>
      <c r="X76" s="366"/>
      <c r="Y76" s="55"/>
      <c r="Z76" s="55"/>
      <c r="AA76" s="56"/>
      <c r="AB76" s="55"/>
      <c r="AC76" s="366"/>
      <c r="AD76" s="366">
        <f t="shared" si="7"/>
        <v>40000</v>
      </c>
      <c r="AE76" s="366">
        <f t="shared" si="8"/>
        <v>-40000</v>
      </c>
      <c r="AF76" s="375"/>
      <c r="AG76" s="363"/>
    </row>
    <row r="77" spans="1:34" s="364" customFormat="1" ht="48" customHeight="1" x14ac:dyDescent="0.55000000000000004">
      <c r="A77" s="341">
        <v>73</v>
      </c>
      <c r="B77" s="366" t="s">
        <v>502</v>
      </c>
      <c r="C77" s="367">
        <f t="shared" si="9"/>
        <v>139</v>
      </c>
      <c r="D77" s="371" t="s">
        <v>121</v>
      </c>
      <c r="E77" s="371" t="s">
        <v>122</v>
      </c>
      <c r="F77" s="139">
        <v>3454180053</v>
      </c>
      <c r="G77" s="140" t="s">
        <v>141</v>
      </c>
      <c r="H77" s="55">
        <v>8000</v>
      </c>
      <c r="I77" s="141">
        <v>22000</v>
      </c>
      <c r="J77" s="373">
        <v>50000</v>
      </c>
      <c r="K77" s="374">
        <f t="shared" si="10"/>
        <v>80000</v>
      </c>
      <c r="L77" s="366">
        <v>8000</v>
      </c>
      <c r="M77" s="56" t="s">
        <v>721</v>
      </c>
      <c r="N77" s="56"/>
      <c r="O77" s="56"/>
      <c r="P77" s="366">
        <v>8000</v>
      </c>
      <c r="Q77" s="55" t="s">
        <v>892</v>
      </c>
      <c r="R77" s="55"/>
      <c r="S77" s="55"/>
      <c r="T77" s="366">
        <v>8000</v>
      </c>
      <c r="U77" s="55" t="s">
        <v>1021</v>
      </c>
      <c r="V77" s="55"/>
      <c r="W77" s="55"/>
      <c r="X77" s="366"/>
      <c r="Y77" s="55"/>
      <c r="Z77" s="55"/>
      <c r="AA77" s="56"/>
      <c r="AB77" s="55"/>
      <c r="AC77" s="366"/>
      <c r="AD77" s="366">
        <f t="shared" si="7"/>
        <v>24000</v>
      </c>
      <c r="AE77" s="366">
        <f t="shared" si="8"/>
        <v>-56000</v>
      </c>
      <c r="AF77" s="375"/>
      <c r="AG77" s="363"/>
    </row>
    <row r="78" spans="1:34" s="364" customFormat="1" ht="48" customHeight="1" x14ac:dyDescent="0.55000000000000004">
      <c r="A78" s="341">
        <v>74</v>
      </c>
      <c r="B78" s="366" t="s">
        <v>502</v>
      </c>
      <c r="C78" s="367">
        <f t="shared" si="9"/>
        <v>140</v>
      </c>
      <c r="D78" s="371" t="s">
        <v>123</v>
      </c>
      <c r="E78" s="371" t="s">
        <v>124</v>
      </c>
      <c r="F78" s="139">
        <v>3096376624</v>
      </c>
      <c r="G78" s="140" t="s">
        <v>30</v>
      </c>
      <c r="H78" s="55">
        <v>8000</v>
      </c>
      <c r="I78" s="141">
        <v>32000</v>
      </c>
      <c r="J78" s="373"/>
      <c r="K78" s="374">
        <f t="shared" si="10"/>
        <v>40000</v>
      </c>
      <c r="L78" s="366">
        <v>8000</v>
      </c>
      <c r="M78" s="63" t="s">
        <v>737</v>
      </c>
      <c r="N78" s="56"/>
      <c r="O78" s="56"/>
      <c r="P78" s="366"/>
      <c r="Q78" s="55"/>
      <c r="R78" s="55"/>
      <c r="S78" s="55"/>
      <c r="T78" s="366">
        <v>8000</v>
      </c>
      <c r="U78" s="55" t="s">
        <v>1026</v>
      </c>
      <c r="V78" s="55"/>
      <c r="W78" s="55"/>
      <c r="X78" s="366">
        <v>8000</v>
      </c>
      <c r="Y78" s="55" t="s">
        <v>1132</v>
      </c>
      <c r="Z78" s="55"/>
      <c r="AA78" s="56"/>
      <c r="AB78" s="55"/>
      <c r="AC78" s="366"/>
      <c r="AD78" s="366">
        <f t="shared" si="7"/>
        <v>24000</v>
      </c>
      <c r="AE78" s="366">
        <f t="shared" si="8"/>
        <v>-16000</v>
      </c>
      <c r="AF78" s="375"/>
      <c r="AG78" s="363"/>
    </row>
    <row r="79" spans="1:34" s="364" customFormat="1" ht="48" customHeight="1" x14ac:dyDescent="0.55000000000000004">
      <c r="A79" s="341">
        <v>75</v>
      </c>
      <c r="B79" s="366" t="s">
        <v>502</v>
      </c>
      <c r="C79" s="367">
        <f t="shared" si="9"/>
        <v>141</v>
      </c>
      <c r="D79" s="372" t="s">
        <v>125</v>
      </c>
      <c r="E79" s="370" t="s">
        <v>126</v>
      </c>
      <c r="F79" s="142" t="s">
        <v>144</v>
      </c>
      <c r="G79" s="140" t="s">
        <v>141</v>
      </c>
      <c r="H79" s="55">
        <v>8000</v>
      </c>
      <c r="I79" s="141">
        <v>17000</v>
      </c>
      <c r="J79" s="373">
        <v>50000</v>
      </c>
      <c r="K79" s="374">
        <f t="shared" si="10"/>
        <v>75000</v>
      </c>
      <c r="L79" s="366">
        <v>8000</v>
      </c>
      <c r="M79" s="56" t="s">
        <v>601</v>
      </c>
      <c r="N79" s="56"/>
      <c r="O79" s="56"/>
      <c r="P79" s="366"/>
      <c r="Q79" s="55"/>
      <c r="R79" s="55">
        <v>8000</v>
      </c>
      <c r="S79" s="55"/>
      <c r="T79" s="366">
        <v>7000</v>
      </c>
      <c r="U79" s="55" t="s">
        <v>1066</v>
      </c>
      <c r="V79" s="55">
        <v>8000</v>
      </c>
      <c r="W79" s="55"/>
      <c r="X79" s="366">
        <v>9000</v>
      </c>
      <c r="Y79" s="55" t="s">
        <v>1090</v>
      </c>
      <c r="Z79" s="55"/>
      <c r="AA79" s="56"/>
      <c r="AB79" s="55"/>
      <c r="AC79" s="366"/>
      <c r="AD79" s="366">
        <f t="shared" ref="AD79:AD104" si="11">L79+P79+T79+X79+AB79+N79+R79+V79+Z79</f>
        <v>40000</v>
      </c>
      <c r="AE79" s="366">
        <f t="shared" ref="AE79:AE104" si="12">AD79-K79</f>
        <v>-35000</v>
      </c>
      <c r="AF79" s="375"/>
      <c r="AG79" s="363"/>
    </row>
    <row r="80" spans="1:34" s="364" customFormat="1" ht="48" customHeight="1" x14ac:dyDescent="0.55000000000000004">
      <c r="A80" s="341">
        <v>76</v>
      </c>
      <c r="B80" s="366" t="s">
        <v>502</v>
      </c>
      <c r="C80" s="367">
        <f t="shared" si="9"/>
        <v>142</v>
      </c>
      <c r="D80" s="368" t="s">
        <v>127</v>
      </c>
      <c r="E80" s="368" t="s">
        <v>128</v>
      </c>
      <c r="F80" s="142">
        <v>3457817452</v>
      </c>
      <c r="G80" s="143" t="s">
        <v>141</v>
      </c>
      <c r="H80" s="55">
        <v>8000</v>
      </c>
      <c r="I80" s="141">
        <v>22000</v>
      </c>
      <c r="J80" s="373">
        <v>50000</v>
      </c>
      <c r="K80" s="374">
        <f t="shared" si="10"/>
        <v>80000</v>
      </c>
      <c r="L80" s="366">
        <v>8000</v>
      </c>
      <c r="M80" s="56" t="s">
        <v>630</v>
      </c>
      <c r="N80" s="56"/>
      <c r="O80" s="56"/>
      <c r="P80" s="366"/>
      <c r="Q80" s="55"/>
      <c r="R80" s="55"/>
      <c r="S80" s="55"/>
      <c r="T80" s="366">
        <v>8000</v>
      </c>
      <c r="U80" s="55" t="s">
        <v>965</v>
      </c>
      <c r="V80" s="55"/>
      <c r="W80" s="55"/>
      <c r="X80" s="366">
        <v>10000</v>
      </c>
      <c r="Y80" s="55" t="s">
        <v>1145</v>
      </c>
      <c r="Z80" s="55"/>
      <c r="AA80" s="56"/>
      <c r="AB80" s="55"/>
      <c r="AC80" s="366"/>
      <c r="AD80" s="366">
        <f t="shared" si="11"/>
        <v>26000</v>
      </c>
      <c r="AE80" s="366">
        <f t="shared" si="12"/>
        <v>-54000</v>
      </c>
      <c r="AF80" s="375"/>
      <c r="AG80" s="363"/>
    </row>
    <row r="81" spans="1:35" s="364" customFormat="1" ht="48" customHeight="1" x14ac:dyDescent="0.55000000000000004">
      <c r="A81" s="341">
        <v>77</v>
      </c>
      <c r="B81" s="366" t="s">
        <v>502</v>
      </c>
      <c r="C81" s="367">
        <f t="shared" si="9"/>
        <v>143</v>
      </c>
      <c r="D81" s="372" t="s">
        <v>129</v>
      </c>
      <c r="E81" s="370" t="s">
        <v>130</v>
      </c>
      <c r="F81" s="139"/>
      <c r="G81" s="140" t="s">
        <v>17</v>
      </c>
      <c r="H81" s="55">
        <v>8000</v>
      </c>
      <c r="I81" s="141">
        <v>22000</v>
      </c>
      <c r="J81" s="373">
        <v>50000</v>
      </c>
      <c r="K81" s="374">
        <f t="shared" si="10"/>
        <v>80000</v>
      </c>
      <c r="L81" s="366">
        <v>8000</v>
      </c>
      <c r="M81" s="56" t="s">
        <v>626</v>
      </c>
      <c r="N81" s="56"/>
      <c r="O81" s="56"/>
      <c r="P81" s="366"/>
      <c r="Q81" s="55"/>
      <c r="R81" s="55"/>
      <c r="S81" s="55"/>
      <c r="T81" s="366">
        <v>5000</v>
      </c>
      <c r="U81" s="55">
        <v>927</v>
      </c>
      <c r="V81" s="55"/>
      <c r="W81" s="55"/>
      <c r="X81" s="366">
        <v>10000</v>
      </c>
      <c r="Y81" s="55" t="s">
        <v>1138</v>
      </c>
      <c r="Z81" s="55"/>
      <c r="AA81" s="56"/>
      <c r="AB81" s="55"/>
      <c r="AC81" s="366"/>
      <c r="AD81" s="366">
        <f t="shared" si="11"/>
        <v>23000</v>
      </c>
      <c r="AE81" s="366">
        <f t="shared" si="12"/>
        <v>-57000</v>
      </c>
      <c r="AF81" s="375"/>
      <c r="AG81" s="363"/>
    </row>
    <row r="82" spans="1:35" s="364" customFormat="1" ht="48" customHeight="1" x14ac:dyDescent="0.55000000000000004">
      <c r="A82" s="341">
        <v>78</v>
      </c>
      <c r="B82" s="366" t="s">
        <v>502</v>
      </c>
      <c r="C82" s="367">
        <f t="shared" si="9"/>
        <v>144</v>
      </c>
      <c r="D82" s="368" t="s">
        <v>132</v>
      </c>
      <c r="E82" s="368" t="s">
        <v>133</v>
      </c>
      <c r="F82" s="142">
        <v>3468721402</v>
      </c>
      <c r="G82" s="140" t="s">
        <v>18</v>
      </c>
      <c r="H82" s="55">
        <v>8000</v>
      </c>
      <c r="I82" s="141">
        <v>32000</v>
      </c>
      <c r="J82" s="373"/>
      <c r="K82" s="374">
        <f t="shared" si="10"/>
        <v>40000</v>
      </c>
      <c r="L82" s="366">
        <v>8000</v>
      </c>
      <c r="M82" s="56" t="s">
        <v>632</v>
      </c>
      <c r="N82" s="56"/>
      <c r="O82" s="56"/>
      <c r="P82" s="366">
        <v>22000</v>
      </c>
      <c r="Q82" s="55" t="s">
        <v>782</v>
      </c>
      <c r="R82" s="55"/>
      <c r="S82" s="55"/>
      <c r="T82" s="366"/>
      <c r="U82" s="55"/>
      <c r="V82" s="55"/>
      <c r="W82" s="55"/>
      <c r="X82" s="366"/>
      <c r="Y82" s="55"/>
      <c r="Z82" s="55"/>
      <c r="AA82" s="56"/>
      <c r="AB82" s="55"/>
      <c r="AC82" s="366"/>
      <c r="AD82" s="366">
        <f t="shared" si="11"/>
        <v>30000</v>
      </c>
      <c r="AE82" s="366">
        <f t="shared" si="12"/>
        <v>-10000</v>
      </c>
      <c r="AF82" s="375"/>
      <c r="AG82" s="363"/>
    </row>
    <row r="83" spans="1:35" s="299" customFormat="1" ht="48.75" customHeight="1" x14ac:dyDescent="0.5">
      <c r="A83" s="279">
        <v>79</v>
      </c>
      <c r="B83" s="301" t="s">
        <v>504</v>
      </c>
      <c r="C83" s="302">
        <v>251</v>
      </c>
      <c r="D83" s="303" t="s">
        <v>207</v>
      </c>
      <c r="E83" s="303" t="s">
        <v>208</v>
      </c>
      <c r="F83" s="148">
        <v>3057191833</v>
      </c>
      <c r="G83" s="149" t="s">
        <v>18</v>
      </c>
      <c r="H83" s="64">
        <v>8000</v>
      </c>
      <c r="I83" s="150">
        <v>32000</v>
      </c>
      <c r="J83" s="149"/>
      <c r="K83" s="331">
        <f t="shared" si="10"/>
        <v>40000</v>
      </c>
      <c r="L83" s="301">
        <v>8000</v>
      </c>
      <c r="M83" s="65" t="s">
        <v>752</v>
      </c>
      <c r="N83" s="65"/>
      <c r="O83" s="65"/>
      <c r="P83" s="301">
        <v>8000</v>
      </c>
      <c r="Q83" s="64" t="s">
        <v>914</v>
      </c>
      <c r="R83" s="64"/>
      <c r="S83" s="64"/>
      <c r="T83" s="301">
        <v>8000</v>
      </c>
      <c r="U83" s="64" t="s">
        <v>1028</v>
      </c>
      <c r="V83" s="64"/>
      <c r="W83" s="64"/>
      <c r="X83" s="301">
        <v>8000</v>
      </c>
      <c r="Y83" s="64" t="s">
        <v>1115</v>
      </c>
      <c r="Z83" s="64"/>
      <c r="AA83" s="65"/>
      <c r="AB83" s="64"/>
      <c r="AC83" s="301"/>
      <c r="AD83" s="301">
        <f t="shared" si="11"/>
        <v>32000</v>
      </c>
      <c r="AE83" s="301">
        <f t="shared" si="12"/>
        <v>-8000</v>
      </c>
      <c r="AF83" s="335"/>
      <c r="AG83" s="298"/>
    </row>
    <row r="84" spans="1:35" s="299" customFormat="1" ht="48.75" customHeight="1" x14ac:dyDescent="0.5">
      <c r="A84" s="279">
        <v>80</v>
      </c>
      <c r="B84" s="301" t="s">
        <v>504</v>
      </c>
      <c r="C84" s="304">
        <f t="shared" ref="C84:C92" si="13">C83+1</f>
        <v>252</v>
      </c>
      <c r="D84" s="305" t="s">
        <v>209</v>
      </c>
      <c r="E84" s="305" t="s">
        <v>210</v>
      </c>
      <c r="F84" s="151">
        <v>3052304056</v>
      </c>
      <c r="G84" s="152" t="s">
        <v>30</v>
      </c>
      <c r="H84" s="64">
        <v>8000</v>
      </c>
      <c r="I84" s="150">
        <v>34000</v>
      </c>
      <c r="J84" s="149"/>
      <c r="K84" s="331">
        <f t="shared" si="10"/>
        <v>42000</v>
      </c>
      <c r="L84" s="301">
        <v>8000</v>
      </c>
      <c r="M84" s="65" t="s">
        <v>651</v>
      </c>
      <c r="N84" s="65"/>
      <c r="O84" s="65"/>
      <c r="P84" s="301">
        <v>8500</v>
      </c>
      <c r="Q84" s="64" t="s">
        <v>831</v>
      </c>
      <c r="R84" s="64"/>
      <c r="S84" s="64"/>
      <c r="T84" s="301">
        <v>8500</v>
      </c>
      <c r="U84" s="64">
        <v>910</v>
      </c>
      <c r="V84" s="64"/>
      <c r="W84" s="64"/>
      <c r="X84" s="301">
        <v>8500</v>
      </c>
      <c r="Y84" s="64" t="s">
        <v>1096</v>
      </c>
      <c r="Z84" s="64"/>
      <c r="AA84" s="65"/>
      <c r="AB84" s="64"/>
      <c r="AC84" s="301"/>
      <c r="AD84" s="301">
        <f t="shared" si="11"/>
        <v>33500</v>
      </c>
      <c r="AE84" s="301">
        <f t="shared" si="12"/>
        <v>-8500</v>
      </c>
      <c r="AF84" s="335"/>
      <c r="AG84" s="298"/>
    </row>
    <row r="85" spans="1:35" s="299" customFormat="1" ht="48.75" customHeight="1" x14ac:dyDescent="0.5">
      <c r="A85" s="279">
        <v>81</v>
      </c>
      <c r="B85" s="301" t="s">
        <v>504</v>
      </c>
      <c r="C85" s="306">
        <f t="shared" si="13"/>
        <v>253</v>
      </c>
      <c r="D85" s="307" t="s">
        <v>211</v>
      </c>
      <c r="E85" s="303" t="s">
        <v>212</v>
      </c>
      <c r="F85" s="148" t="s">
        <v>213</v>
      </c>
      <c r="G85" s="149" t="s">
        <v>214</v>
      </c>
      <c r="H85" s="64">
        <v>8000</v>
      </c>
      <c r="I85" s="150">
        <v>17000</v>
      </c>
      <c r="J85" s="149">
        <v>50000</v>
      </c>
      <c r="K85" s="331">
        <f t="shared" si="10"/>
        <v>75000</v>
      </c>
      <c r="L85" s="301">
        <v>8000</v>
      </c>
      <c r="M85" s="65" t="s">
        <v>598</v>
      </c>
      <c r="N85" s="65"/>
      <c r="O85" s="65"/>
      <c r="P85" s="301">
        <v>8000</v>
      </c>
      <c r="Q85" s="64" t="s">
        <v>828</v>
      </c>
      <c r="R85" s="64"/>
      <c r="S85" s="64"/>
      <c r="T85" s="301">
        <v>6000</v>
      </c>
      <c r="U85" s="64">
        <v>916</v>
      </c>
      <c r="V85" s="64"/>
      <c r="W85" s="64"/>
      <c r="X85" s="301">
        <v>6000</v>
      </c>
      <c r="Y85" s="64" t="s">
        <v>1076</v>
      </c>
      <c r="Z85" s="64">
        <v>20000</v>
      </c>
      <c r="AA85" s="65"/>
      <c r="AB85" s="64"/>
      <c r="AC85" s="301"/>
      <c r="AD85" s="301">
        <f t="shared" si="11"/>
        <v>48000</v>
      </c>
      <c r="AE85" s="301">
        <f t="shared" si="12"/>
        <v>-27000</v>
      </c>
      <c r="AF85" s="335"/>
      <c r="AG85" s="298"/>
    </row>
    <row r="86" spans="1:35" s="299" customFormat="1" ht="48.75" customHeight="1" x14ac:dyDescent="0.5">
      <c r="A86" s="279">
        <v>82</v>
      </c>
      <c r="B86" s="301" t="s">
        <v>504</v>
      </c>
      <c r="C86" s="306">
        <f t="shared" si="13"/>
        <v>254</v>
      </c>
      <c r="D86" s="308" t="s">
        <v>215</v>
      </c>
      <c r="E86" s="303" t="s">
        <v>216</v>
      </c>
      <c r="F86" s="148">
        <v>3029235062</v>
      </c>
      <c r="G86" s="149" t="s">
        <v>217</v>
      </c>
      <c r="H86" s="64">
        <v>8000</v>
      </c>
      <c r="I86" s="150">
        <v>17000</v>
      </c>
      <c r="J86" s="149"/>
      <c r="K86" s="331">
        <f t="shared" si="10"/>
        <v>25000</v>
      </c>
      <c r="L86" s="301">
        <v>2500</v>
      </c>
      <c r="M86" s="65" t="s">
        <v>709</v>
      </c>
      <c r="N86" s="65"/>
      <c r="O86" s="65"/>
      <c r="P86" s="301">
        <v>5000</v>
      </c>
      <c r="Q86" s="64" t="s">
        <v>907</v>
      </c>
      <c r="R86" s="64"/>
      <c r="S86" s="64"/>
      <c r="T86" s="301">
        <v>2500</v>
      </c>
      <c r="U86" s="64" t="s">
        <v>1007</v>
      </c>
      <c r="V86" s="64"/>
      <c r="W86" s="64"/>
      <c r="X86" s="301">
        <f>2500+2500</f>
        <v>5000</v>
      </c>
      <c r="Y86" s="64" t="s">
        <v>1177</v>
      </c>
      <c r="Z86" s="64"/>
      <c r="AA86" s="65"/>
      <c r="AB86" s="64"/>
      <c r="AC86" s="301"/>
      <c r="AD86" s="301">
        <f t="shared" si="11"/>
        <v>15000</v>
      </c>
      <c r="AE86" s="301">
        <f t="shared" si="12"/>
        <v>-10000</v>
      </c>
      <c r="AF86" s="335"/>
      <c r="AG86" s="298"/>
    </row>
    <row r="87" spans="1:35" s="299" customFormat="1" ht="48.75" customHeight="1" x14ac:dyDescent="0.5">
      <c r="A87" s="279">
        <v>83</v>
      </c>
      <c r="B87" s="301" t="s">
        <v>504</v>
      </c>
      <c r="C87" s="306">
        <f t="shared" si="13"/>
        <v>255</v>
      </c>
      <c r="D87" s="307" t="s">
        <v>218</v>
      </c>
      <c r="E87" s="309" t="s">
        <v>503</v>
      </c>
      <c r="F87" s="148"/>
      <c r="G87" s="149" t="s">
        <v>217</v>
      </c>
      <c r="H87" s="64">
        <v>8000</v>
      </c>
      <c r="I87" s="150">
        <v>32000</v>
      </c>
      <c r="J87" s="230"/>
      <c r="K87" s="331">
        <f t="shared" si="10"/>
        <v>40000</v>
      </c>
      <c r="L87" s="301">
        <v>8000</v>
      </c>
      <c r="M87" s="65" t="s">
        <v>702</v>
      </c>
      <c r="N87" s="65"/>
      <c r="O87" s="65"/>
      <c r="P87" s="301">
        <f>3500+7000</f>
        <v>10500</v>
      </c>
      <c r="Q87" s="64" t="s">
        <v>915</v>
      </c>
      <c r="R87" s="64"/>
      <c r="S87" s="64"/>
      <c r="T87" s="301">
        <v>14000</v>
      </c>
      <c r="U87" s="64" t="s">
        <v>964</v>
      </c>
      <c r="V87" s="64"/>
      <c r="W87" s="64"/>
      <c r="X87" s="301"/>
      <c r="Y87" s="64"/>
      <c r="Z87" s="64"/>
      <c r="AA87" s="65"/>
      <c r="AB87" s="64"/>
      <c r="AC87" s="301"/>
      <c r="AD87" s="301">
        <f t="shared" si="11"/>
        <v>32500</v>
      </c>
      <c r="AE87" s="301">
        <f t="shared" si="12"/>
        <v>-7500</v>
      </c>
      <c r="AF87" s="335"/>
      <c r="AG87" s="298"/>
    </row>
    <row r="88" spans="1:35" s="299" customFormat="1" ht="48.75" customHeight="1" x14ac:dyDescent="0.5">
      <c r="A88" s="279">
        <v>84</v>
      </c>
      <c r="B88" s="280" t="s">
        <v>504</v>
      </c>
      <c r="C88" s="310">
        <f t="shared" si="13"/>
        <v>256</v>
      </c>
      <c r="D88" s="293" t="s">
        <v>219</v>
      </c>
      <c r="E88" s="293" t="s">
        <v>220</v>
      </c>
      <c r="F88" s="145">
        <v>3061286136</v>
      </c>
      <c r="G88" s="146" t="s">
        <v>20</v>
      </c>
      <c r="H88" s="108">
        <v>8000</v>
      </c>
      <c r="I88" s="147">
        <v>34000</v>
      </c>
      <c r="J88" s="146"/>
      <c r="K88" s="295">
        <f t="shared" si="10"/>
        <v>42000</v>
      </c>
      <c r="L88" s="280">
        <v>8000</v>
      </c>
      <c r="M88" s="109" t="s">
        <v>581</v>
      </c>
      <c r="N88" s="109"/>
      <c r="O88" s="109"/>
      <c r="P88" s="280">
        <v>8000</v>
      </c>
      <c r="Q88" s="108" t="s">
        <v>855</v>
      </c>
      <c r="R88" s="108"/>
      <c r="S88" s="108"/>
      <c r="T88" s="280">
        <v>8000</v>
      </c>
      <c r="U88" s="108" t="s">
        <v>927</v>
      </c>
      <c r="V88" s="108"/>
      <c r="W88" s="108"/>
      <c r="X88" s="280">
        <v>18000</v>
      </c>
      <c r="Y88" s="108" t="s">
        <v>1069</v>
      </c>
      <c r="Z88" s="108"/>
      <c r="AA88" s="109"/>
      <c r="AB88" s="108"/>
      <c r="AC88" s="280"/>
      <c r="AD88" s="280">
        <f t="shared" si="11"/>
        <v>42000</v>
      </c>
      <c r="AE88" s="280">
        <f t="shared" si="12"/>
        <v>0</v>
      </c>
      <c r="AF88" s="297"/>
      <c r="AG88" s="298"/>
    </row>
    <row r="89" spans="1:35" s="299" customFormat="1" ht="48.75" customHeight="1" x14ac:dyDescent="0.5">
      <c r="A89" s="279">
        <v>85</v>
      </c>
      <c r="B89" s="301" t="s">
        <v>504</v>
      </c>
      <c r="C89" s="306">
        <f t="shared" si="13"/>
        <v>257</v>
      </c>
      <c r="D89" s="303" t="s">
        <v>221</v>
      </c>
      <c r="E89" s="303" t="s">
        <v>178</v>
      </c>
      <c r="F89" s="153">
        <v>3057162085</v>
      </c>
      <c r="G89" s="149">
        <v>465</v>
      </c>
      <c r="H89" s="64">
        <v>8000</v>
      </c>
      <c r="I89" s="150">
        <v>32000</v>
      </c>
      <c r="J89" s="149"/>
      <c r="K89" s="331">
        <f t="shared" si="10"/>
        <v>40000</v>
      </c>
      <c r="L89" s="301">
        <v>8000</v>
      </c>
      <c r="M89" s="65" t="s">
        <v>564</v>
      </c>
      <c r="N89" s="65"/>
      <c r="O89" s="65"/>
      <c r="P89" s="301">
        <v>8000</v>
      </c>
      <c r="Q89" s="64" t="s">
        <v>840</v>
      </c>
      <c r="R89" s="64"/>
      <c r="S89" s="64"/>
      <c r="T89" s="301">
        <v>8000</v>
      </c>
      <c r="U89" s="64">
        <v>917</v>
      </c>
      <c r="V89" s="64"/>
      <c r="W89" s="64"/>
      <c r="X89" s="301">
        <v>8000</v>
      </c>
      <c r="Y89" s="64" t="s">
        <v>1097</v>
      </c>
      <c r="Z89" s="64"/>
      <c r="AA89" s="65"/>
      <c r="AB89" s="64"/>
      <c r="AC89" s="301"/>
      <c r="AD89" s="301">
        <f t="shared" si="11"/>
        <v>32000</v>
      </c>
      <c r="AE89" s="301">
        <f t="shared" si="12"/>
        <v>-8000</v>
      </c>
      <c r="AF89" s="335"/>
      <c r="AG89" s="298"/>
    </row>
    <row r="90" spans="1:35" s="299" customFormat="1" ht="48.75" customHeight="1" x14ac:dyDescent="0.5">
      <c r="A90" s="279">
        <v>86</v>
      </c>
      <c r="B90" s="280" t="s">
        <v>504</v>
      </c>
      <c r="C90" s="310">
        <f t="shared" si="13"/>
        <v>258</v>
      </c>
      <c r="D90" s="293" t="s">
        <v>222</v>
      </c>
      <c r="E90" s="293" t="s">
        <v>223</v>
      </c>
      <c r="F90" s="145">
        <v>3057995160</v>
      </c>
      <c r="G90" s="146">
        <v>465</v>
      </c>
      <c r="H90" s="108">
        <v>8000</v>
      </c>
      <c r="I90" s="147">
        <v>32000</v>
      </c>
      <c r="J90" s="146"/>
      <c r="K90" s="295">
        <f t="shared" si="10"/>
        <v>40000</v>
      </c>
      <c r="L90" s="280">
        <v>8000</v>
      </c>
      <c r="M90" s="109" t="s">
        <v>563</v>
      </c>
      <c r="N90" s="109"/>
      <c r="O90" s="109"/>
      <c r="P90" s="280">
        <v>26000</v>
      </c>
      <c r="Q90" s="108" t="s">
        <v>774</v>
      </c>
      <c r="R90" s="108"/>
      <c r="S90" s="108"/>
      <c r="T90" s="280"/>
      <c r="U90" s="108"/>
      <c r="V90" s="108"/>
      <c r="W90" s="108"/>
      <c r="X90" s="280">
        <v>6000</v>
      </c>
      <c r="Y90" s="108" t="s">
        <v>1070</v>
      </c>
      <c r="Z90" s="108"/>
      <c r="AA90" s="109"/>
      <c r="AB90" s="108"/>
      <c r="AC90" s="280"/>
      <c r="AD90" s="280">
        <f t="shared" si="11"/>
        <v>40000</v>
      </c>
      <c r="AE90" s="280">
        <f t="shared" si="12"/>
        <v>0</v>
      </c>
      <c r="AF90" s="297"/>
      <c r="AG90" s="298"/>
    </row>
    <row r="91" spans="1:35" s="337" customFormat="1" ht="48.75" customHeight="1" x14ac:dyDescent="0.5">
      <c r="A91" s="279">
        <v>87</v>
      </c>
      <c r="B91" s="280" t="s">
        <v>504</v>
      </c>
      <c r="C91" s="310">
        <f t="shared" si="13"/>
        <v>259</v>
      </c>
      <c r="D91" s="311" t="s">
        <v>224</v>
      </c>
      <c r="E91" s="311" t="s">
        <v>225</v>
      </c>
      <c r="F91" s="224">
        <v>3017041290</v>
      </c>
      <c r="G91" s="146" t="s">
        <v>18</v>
      </c>
      <c r="H91" s="108">
        <v>8000</v>
      </c>
      <c r="I91" s="147">
        <v>27000</v>
      </c>
      <c r="J91" s="229"/>
      <c r="K91" s="295">
        <f t="shared" si="10"/>
        <v>35000</v>
      </c>
      <c r="L91" s="280">
        <v>8000</v>
      </c>
      <c r="M91" s="109" t="s">
        <v>600</v>
      </c>
      <c r="N91" s="109"/>
      <c r="O91" s="109"/>
      <c r="P91" s="280">
        <v>27000</v>
      </c>
      <c r="Q91" s="108" t="s">
        <v>776</v>
      </c>
      <c r="R91" s="108"/>
      <c r="S91" s="108"/>
      <c r="T91" s="280"/>
      <c r="U91" s="108"/>
      <c r="V91" s="108"/>
      <c r="W91" s="108"/>
      <c r="X91" s="280"/>
      <c r="Y91" s="108"/>
      <c r="Z91" s="108"/>
      <c r="AA91" s="109"/>
      <c r="AB91" s="108"/>
      <c r="AC91" s="280"/>
      <c r="AD91" s="280">
        <f t="shared" si="11"/>
        <v>35000</v>
      </c>
      <c r="AE91" s="280">
        <f t="shared" si="12"/>
        <v>0</v>
      </c>
      <c r="AF91" s="297"/>
      <c r="AG91" s="336"/>
    </row>
    <row r="92" spans="1:35" s="299" customFormat="1" ht="48.75" customHeight="1" x14ac:dyDescent="0.5">
      <c r="A92" s="279">
        <v>88</v>
      </c>
      <c r="B92" s="301" t="s">
        <v>504</v>
      </c>
      <c r="C92" s="306">
        <f t="shared" si="13"/>
        <v>260</v>
      </c>
      <c r="D92" s="307" t="s">
        <v>226</v>
      </c>
      <c r="E92" s="303" t="s">
        <v>99</v>
      </c>
      <c r="F92" s="148">
        <v>3447891778</v>
      </c>
      <c r="G92" s="149" t="s">
        <v>39</v>
      </c>
      <c r="H92" s="64">
        <v>8000</v>
      </c>
      <c r="I92" s="150">
        <v>22000</v>
      </c>
      <c r="J92" s="149">
        <v>50000</v>
      </c>
      <c r="K92" s="331">
        <f t="shared" si="10"/>
        <v>80000</v>
      </c>
      <c r="L92" s="301">
        <v>8000</v>
      </c>
      <c r="M92" s="65" t="s">
        <v>594</v>
      </c>
      <c r="N92" s="65"/>
      <c r="O92" s="65"/>
      <c r="P92" s="301">
        <v>10000</v>
      </c>
      <c r="Q92" s="64" t="s">
        <v>889</v>
      </c>
      <c r="R92" s="64">
        <v>20000</v>
      </c>
      <c r="S92" s="64"/>
      <c r="T92" s="301">
        <v>4000</v>
      </c>
      <c r="U92" s="64">
        <v>951</v>
      </c>
      <c r="V92" s="64">
        <v>20000</v>
      </c>
      <c r="W92" s="64"/>
      <c r="X92" s="301">
        <v>4000</v>
      </c>
      <c r="Y92" s="64" t="s">
        <v>1075</v>
      </c>
      <c r="Z92" s="64"/>
      <c r="AA92" s="65"/>
      <c r="AB92" s="64"/>
      <c r="AC92" s="301"/>
      <c r="AD92" s="301">
        <f t="shared" si="11"/>
        <v>66000</v>
      </c>
      <c r="AE92" s="301">
        <f t="shared" si="12"/>
        <v>-14000</v>
      </c>
      <c r="AF92" s="335"/>
      <c r="AG92" s="298"/>
    </row>
    <row r="93" spans="1:35" s="299" customFormat="1" ht="48.75" customHeight="1" x14ac:dyDescent="0.5">
      <c r="A93" s="279">
        <v>89</v>
      </c>
      <c r="B93" s="312" t="s">
        <v>505</v>
      </c>
      <c r="C93" s="313">
        <v>501</v>
      </c>
      <c r="D93" s="314" t="s">
        <v>227</v>
      </c>
      <c r="E93" s="315" t="s">
        <v>228</v>
      </c>
      <c r="F93" s="154">
        <v>3428802300</v>
      </c>
      <c r="G93" s="155" t="s">
        <v>23</v>
      </c>
      <c r="H93" s="57">
        <v>8000</v>
      </c>
      <c r="I93" s="155">
        <v>22000</v>
      </c>
      <c r="J93" s="231">
        <v>50000</v>
      </c>
      <c r="K93" s="332">
        <f t="shared" si="10"/>
        <v>80000</v>
      </c>
      <c r="L93" s="312">
        <v>8000</v>
      </c>
      <c r="M93" s="58" t="s">
        <v>650</v>
      </c>
      <c r="N93" s="58"/>
      <c r="O93" s="58"/>
      <c r="P93" s="312">
        <v>18000</v>
      </c>
      <c r="Q93" s="57" t="s">
        <v>811</v>
      </c>
      <c r="R93" s="57">
        <f>14000+28000</f>
        <v>42000</v>
      </c>
      <c r="S93" s="57"/>
      <c r="T93" s="312">
        <v>4000</v>
      </c>
      <c r="U93" s="57" t="s">
        <v>1055</v>
      </c>
      <c r="V93" s="57"/>
      <c r="W93" s="57"/>
      <c r="X93" s="312"/>
      <c r="Y93" s="57"/>
      <c r="Z93" s="57"/>
      <c r="AA93" s="58"/>
      <c r="AB93" s="57"/>
      <c r="AC93" s="312"/>
      <c r="AD93" s="312">
        <f t="shared" si="11"/>
        <v>72000</v>
      </c>
      <c r="AE93" s="312">
        <f t="shared" si="12"/>
        <v>-8000</v>
      </c>
      <c r="AF93" s="338"/>
      <c r="AG93" s="298"/>
    </row>
    <row r="94" spans="1:35" s="299" customFormat="1" ht="48.75" customHeight="1" x14ac:dyDescent="0.5">
      <c r="A94" s="279">
        <v>90</v>
      </c>
      <c r="B94" s="312" t="s">
        <v>505</v>
      </c>
      <c r="C94" s="316">
        <f t="shared" ref="C94:C96" si="14">C93+1</f>
        <v>502</v>
      </c>
      <c r="D94" s="315" t="s">
        <v>229</v>
      </c>
      <c r="E94" s="315" t="s">
        <v>230</v>
      </c>
      <c r="F94" s="154">
        <v>3447622142</v>
      </c>
      <c r="G94" s="155" t="s">
        <v>30</v>
      </c>
      <c r="H94" s="57">
        <v>8000</v>
      </c>
      <c r="I94" s="155">
        <v>34000</v>
      </c>
      <c r="J94" s="155"/>
      <c r="K94" s="332">
        <f t="shared" si="10"/>
        <v>42000</v>
      </c>
      <c r="L94" s="312">
        <v>8000</v>
      </c>
      <c r="M94" s="58" t="s">
        <v>537</v>
      </c>
      <c r="N94" s="58"/>
      <c r="O94" s="58"/>
      <c r="P94" s="312">
        <v>8000</v>
      </c>
      <c r="Q94" s="57" t="s">
        <v>813</v>
      </c>
      <c r="R94" s="57"/>
      <c r="S94" s="57"/>
      <c r="T94" s="312">
        <v>9000</v>
      </c>
      <c r="U94" s="57" t="s">
        <v>948</v>
      </c>
      <c r="V94" s="57"/>
      <c r="W94" s="57"/>
      <c r="X94" s="312">
        <v>9000</v>
      </c>
      <c r="Y94" s="57" t="s">
        <v>1111</v>
      </c>
      <c r="Z94" s="57"/>
      <c r="AA94" s="58"/>
      <c r="AB94" s="57"/>
      <c r="AC94" s="312"/>
      <c r="AD94" s="312">
        <f t="shared" si="11"/>
        <v>34000</v>
      </c>
      <c r="AE94" s="312">
        <f t="shared" si="12"/>
        <v>-8000</v>
      </c>
      <c r="AF94" s="338"/>
      <c r="AG94" s="298"/>
    </row>
    <row r="95" spans="1:35" s="299" customFormat="1" ht="48.75" customHeight="1" x14ac:dyDescent="0.5">
      <c r="A95" s="279">
        <v>91</v>
      </c>
      <c r="B95" s="312" t="s">
        <v>505</v>
      </c>
      <c r="C95" s="313">
        <f t="shared" si="14"/>
        <v>503</v>
      </c>
      <c r="D95" s="314" t="s">
        <v>231</v>
      </c>
      <c r="E95" s="315" t="s">
        <v>232</v>
      </c>
      <c r="F95" s="154">
        <v>3462167203</v>
      </c>
      <c r="G95" s="155" t="s">
        <v>23</v>
      </c>
      <c r="H95" s="57">
        <v>8000</v>
      </c>
      <c r="I95" s="155">
        <v>22000</v>
      </c>
      <c r="J95" s="231">
        <v>50000</v>
      </c>
      <c r="K95" s="332">
        <f t="shared" si="10"/>
        <v>80000</v>
      </c>
      <c r="L95" s="312">
        <v>8000</v>
      </c>
      <c r="M95" s="58" t="s">
        <v>658</v>
      </c>
      <c r="N95" s="58"/>
      <c r="O95" s="58"/>
      <c r="P95" s="312">
        <v>12000</v>
      </c>
      <c r="Q95" s="57" t="s">
        <v>790</v>
      </c>
      <c r="R95" s="57">
        <v>24000</v>
      </c>
      <c r="S95" s="57"/>
      <c r="T95" s="312"/>
      <c r="U95" s="57"/>
      <c r="V95" s="57"/>
      <c r="W95" s="57"/>
      <c r="X95" s="312"/>
      <c r="Y95" s="57"/>
      <c r="Z95" s="57"/>
      <c r="AA95" s="58"/>
      <c r="AB95" s="57"/>
      <c r="AC95" s="312"/>
      <c r="AD95" s="312">
        <f t="shared" si="11"/>
        <v>44000</v>
      </c>
      <c r="AE95" s="312">
        <f t="shared" si="12"/>
        <v>-36000</v>
      </c>
      <c r="AF95" s="338"/>
      <c r="AG95" s="298"/>
    </row>
    <row r="96" spans="1:35" s="299" customFormat="1" ht="48.75" customHeight="1" thickBot="1" x14ac:dyDescent="0.55000000000000004">
      <c r="A96" s="279">
        <v>92</v>
      </c>
      <c r="B96" s="312" t="s">
        <v>505</v>
      </c>
      <c r="C96" s="316">
        <f t="shared" si="14"/>
        <v>504</v>
      </c>
      <c r="D96" s="315" t="s">
        <v>233</v>
      </c>
      <c r="E96" s="315" t="s">
        <v>234</v>
      </c>
      <c r="F96" s="154">
        <v>3023997688</v>
      </c>
      <c r="G96" s="156" t="s">
        <v>139</v>
      </c>
      <c r="H96" s="57">
        <v>8000</v>
      </c>
      <c r="I96" s="155">
        <v>37000</v>
      </c>
      <c r="J96" s="231"/>
      <c r="K96" s="332">
        <f t="shared" si="10"/>
        <v>45000</v>
      </c>
      <c r="L96" s="312">
        <v>8000</v>
      </c>
      <c r="M96" s="58" t="s">
        <v>558</v>
      </c>
      <c r="N96" s="58"/>
      <c r="O96" s="58"/>
      <c r="P96" s="312">
        <v>10000</v>
      </c>
      <c r="Q96" s="57" t="s">
        <v>816</v>
      </c>
      <c r="R96" s="57"/>
      <c r="S96" s="57"/>
      <c r="T96" s="312">
        <v>9000</v>
      </c>
      <c r="U96" s="57" t="s">
        <v>961</v>
      </c>
      <c r="V96" s="57"/>
      <c r="W96" s="57"/>
      <c r="X96" s="312"/>
      <c r="Y96" s="57"/>
      <c r="Z96" s="57"/>
      <c r="AA96" s="58"/>
      <c r="AB96" s="57"/>
      <c r="AC96" s="312"/>
      <c r="AD96" s="312">
        <f t="shared" si="11"/>
        <v>27000</v>
      </c>
      <c r="AE96" s="312">
        <f t="shared" si="12"/>
        <v>-18000</v>
      </c>
      <c r="AF96" s="338"/>
      <c r="AG96" s="298"/>
      <c r="AI96" s="298"/>
    </row>
    <row r="97" spans="1:34" s="299" customFormat="1" ht="48.75" customHeight="1" x14ac:dyDescent="0.5">
      <c r="A97" s="279">
        <v>93</v>
      </c>
      <c r="B97" s="317" t="s">
        <v>506</v>
      </c>
      <c r="C97" s="318">
        <v>401</v>
      </c>
      <c r="D97" s="319" t="s">
        <v>131</v>
      </c>
      <c r="E97" s="319" t="s">
        <v>93</v>
      </c>
      <c r="F97" s="158">
        <v>3060668192</v>
      </c>
      <c r="G97" s="157" t="s">
        <v>18</v>
      </c>
      <c r="H97" s="66">
        <v>8000</v>
      </c>
      <c r="I97" s="157">
        <v>32000</v>
      </c>
      <c r="J97" s="159"/>
      <c r="K97" s="333">
        <f t="shared" si="10"/>
        <v>40000</v>
      </c>
      <c r="L97" s="317">
        <v>8000</v>
      </c>
      <c r="M97" s="67" t="s">
        <v>707</v>
      </c>
      <c r="N97" s="67"/>
      <c r="O97" s="67"/>
      <c r="P97" s="317"/>
      <c r="Q97" s="66"/>
      <c r="R97" s="66"/>
      <c r="S97" s="66"/>
      <c r="T97" s="317">
        <v>12000</v>
      </c>
      <c r="U97" s="66">
        <v>950</v>
      </c>
      <c r="V97" s="66"/>
      <c r="W97" s="66"/>
      <c r="X97" s="317">
        <v>8000</v>
      </c>
      <c r="Y97" s="66" t="s">
        <v>1095</v>
      </c>
      <c r="Z97" s="66"/>
      <c r="AA97" s="67"/>
      <c r="AB97" s="66"/>
      <c r="AC97" s="317"/>
      <c r="AD97" s="317">
        <f t="shared" si="11"/>
        <v>28000</v>
      </c>
      <c r="AE97" s="317">
        <f t="shared" si="12"/>
        <v>-12000</v>
      </c>
      <c r="AF97" s="339"/>
      <c r="AG97" s="298"/>
    </row>
    <row r="98" spans="1:34" s="299" customFormat="1" ht="48.75" customHeight="1" x14ac:dyDescent="0.5">
      <c r="A98" s="279">
        <v>94</v>
      </c>
      <c r="B98" s="317" t="s">
        <v>506</v>
      </c>
      <c r="C98" s="320">
        <f>C97+1</f>
        <v>402</v>
      </c>
      <c r="D98" s="321" t="s">
        <v>235</v>
      </c>
      <c r="E98" s="321" t="s">
        <v>236</v>
      </c>
      <c r="F98" s="160">
        <v>3156943471</v>
      </c>
      <c r="G98" s="159" t="s">
        <v>139</v>
      </c>
      <c r="H98" s="66">
        <v>8000</v>
      </c>
      <c r="I98" s="159">
        <v>37000</v>
      </c>
      <c r="J98" s="159"/>
      <c r="K98" s="333">
        <f t="shared" si="10"/>
        <v>45000</v>
      </c>
      <c r="L98" s="317">
        <v>8000</v>
      </c>
      <c r="M98" s="67" t="s">
        <v>575</v>
      </c>
      <c r="N98" s="67"/>
      <c r="O98" s="67"/>
      <c r="P98" s="317"/>
      <c r="Q98" s="66"/>
      <c r="R98" s="66"/>
      <c r="S98" s="66"/>
      <c r="T98" s="317"/>
      <c r="U98" s="66"/>
      <c r="V98" s="66"/>
      <c r="W98" s="66"/>
      <c r="X98" s="317"/>
      <c r="Y98" s="66"/>
      <c r="Z98" s="66"/>
      <c r="AA98" s="67"/>
      <c r="AB98" s="66"/>
      <c r="AC98" s="317"/>
      <c r="AD98" s="317">
        <f t="shared" si="11"/>
        <v>8000</v>
      </c>
      <c r="AE98" s="317">
        <f t="shared" si="12"/>
        <v>-37000</v>
      </c>
      <c r="AF98" s="339"/>
      <c r="AG98" s="298"/>
    </row>
    <row r="99" spans="1:34" s="299" customFormat="1" ht="48.75" customHeight="1" x14ac:dyDescent="0.5">
      <c r="A99" s="279">
        <v>95</v>
      </c>
      <c r="B99" s="317" t="s">
        <v>506</v>
      </c>
      <c r="C99" s="322">
        <f t="shared" ref="C99:C100" si="15">C98+1</f>
        <v>403</v>
      </c>
      <c r="D99" s="323" t="s">
        <v>237</v>
      </c>
      <c r="E99" s="321" t="s">
        <v>238</v>
      </c>
      <c r="F99" s="160">
        <v>3281479134</v>
      </c>
      <c r="G99" s="159" t="s">
        <v>33</v>
      </c>
      <c r="H99" s="66">
        <v>8000</v>
      </c>
      <c r="I99" s="159">
        <v>34000</v>
      </c>
      <c r="J99" s="66"/>
      <c r="K99" s="333">
        <f t="shared" si="10"/>
        <v>42000</v>
      </c>
      <c r="L99" s="317">
        <v>8000</v>
      </c>
      <c r="M99" s="67" t="s">
        <v>620</v>
      </c>
      <c r="N99" s="67"/>
      <c r="O99" s="67"/>
      <c r="P99" s="317">
        <v>10000</v>
      </c>
      <c r="Q99" s="66" t="s">
        <v>832</v>
      </c>
      <c r="R99" s="66"/>
      <c r="S99" s="66"/>
      <c r="T99" s="317">
        <v>8000</v>
      </c>
      <c r="U99" s="66" t="s">
        <v>945</v>
      </c>
      <c r="V99" s="66"/>
      <c r="W99" s="66"/>
      <c r="X99" s="317">
        <v>8000</v>
      </c>
      <c r="Y99" s="66" t="s">
        <v>1094</v>
      </c>
      <c r="Z99" s="66"/>
      <c r="AA99" s="67"/>
      <c r="AB99" s="66"/>
      <c r="AC99" s="317"/>
      <c r="AD99" s="317">
        <f t="shared" si="11"/>
        <v>34000</v>
      </c>
      <c r="AE99" s="317">
        <f t="shared" si="12"/>
        <v>-8000</v>
      </c>
      <c r="AF99" s="339"/>
      <c r="AG99" s="298"/>
    </row>
    <row r="100" spans="1:34" s="299" customFormat="1" ht="48.75" customHeight="1" x14ac:dyDescent="0.5">
      <c r="A100" s="279">
        <v>96</v>
      </c>
      <c r="B100" s="280" t="s">
        <v>506</v>
      </c>
      <c r="C100" s="324">
        <f t="shared" si="15"/>
        <v>404</v>
      </c>
      <c r="D100" s="294" t="s">
        <v>239</v>
      </c>
      <c r="E100" s="293" t="s">
        <v>240</v>
      </c>
      <c r="F100" s="159"/>
      <c r="G100" s="159" t="s">
        <v>18</v>
      </c>
      <c r="H100" s="108">
        <v>8000</v>
      </c>
      <c r="I100" s="146">
        <v>32000</v>
      </c>
      <c r="J100" s="108"/>
      <c r="K100" s="295">
        <f t="shared" si="10"/>
        <v>40000</v>
      </c>
      <c r="L100" s="280">
        <v>8000</v>
      </c>
      <c r="M100" s="67" t="s">
        <v>691</v>
      </c>
      <c r="N100" s="67"/>
      <c r="O100" s="67"/>
      <c r="P100" s="280">
        <v>10000</v>
      </c>
      <c r="Q100" s="66" t="s">
        <v>833</v>
      </c>
      <c r="R100" s="66"/>
      <c r="S100" s="66"/>
      <c r="T100" s="280">
        <v>10000</v>
      </c>
      <c r="U100" s="66">
        <v>918</v>
      </c>
      <c r="V100" s="66"/>
      <c r="W100" s="66"/>
      <c r="X100" s="280">
        <v>12000</v>
      </c>
      <c r="Y100" s="108" t="s">
        <v>1128</v>
      </c>
      <c r="Z100" s="66"/>
      <c r="AA100" s="67"/>
      <c r="AB100" s="66"/>
      <c r="AC100" s="280"/>
      <c r="AD100" s="280">
        <f t="shared" si="11"/>
        <v>40000</v>
      </c>
      <c r="AE100" s="280">
        <f t="shared" si="12"/>
        <v>0</v>
      </c>
      <c r="AF100" s="297"/>
      <c r="AG100" s="298"/>
      <c r="AH100" s="298"/>
    </row>
    <row r="101" spans="1:34" s="299" customFormat="1" ht="48.75" customHeight="1" x14ac:dyDescent="0.5">
      <c r="A101" s="279">
        <v>97</v>
      </c>
      <c r="B101" s="325" t="s">
        <v>507</v>
      </c>
      <c r="C101" s="326">
        <v>301</v>
      </c>
      <c r="D101" s="327" t="s">
        <v>203</v>
      </c>
      <c r="E101" s="327" t="s">
        <v>63</v>
      </c>
      <c r="F101" s="162">
        <v>3004069490</v>
      </c>
      <c r="G101" s="163" t="s">
        <v>21</v>
      </c>
      <c r="H101" s="68">
        <v>8000</v>
      </c>
      <c r="I101" s="163">
        <v>37000</v>
      </c>
      <c r="J101" s="232"/>
      <c r="K101" s="334">
        <f t="shared" si="10"/>
        <v>45000</v>
      </c>
      <c r="L101" s="325">
        <v>8000</v>
      </c>
      <c r="M101" s="69" t="s">
        <v>571</v>
      </c>
      <c r="N101" s="69"/>
      <c r="O101" s="69"/>
      <c r="P101" s="325">
        <v>12000</v>
      </c>
      <c r="Q101" s="68" t="s">
        <v>893</v>
      </c>
      <c r="R101" s="68"/>
      <c r="S101" s="68"/>
      <c r="T101" s="325">
        <v>12000</v>
      </c>
      <c r="U101" s="68" t="s">
        <v>1011</v>
      </c>
      <c r="V101" s="68"/>
      <c r="W101" s="68"/>
      <c r="X101" s="325"/>
      <c r="Y101" s="68"/>
      <c r="Z101" s="68"/>
      <c r="AA101" s="69"/>
      <c r="AB101" s="68"/>
      <c r="AC101" s="325"/>
      <c r="AD101" s="325">
        <f t="shared" si="11"/>
        <v>32000</v>
      </c>
      <c r="AE101" s="325">
        <f t="shared" si="12"/>
        <v>-13000</v>
      </c>
      <c r="AF101" s="340"/>
      <c r="AG101" s="298"/>
    </row>
    <row r="102" spans="1:34" s="299" customFormat="1" ht="48.75" customHeight="1" x14ac:dyDescent="0.5">
      <c r="A102" s="279">
        <v>98</v>
      </c>
      <c r="B102" s="325" t="s">
        <v>507</v>
      </c>
      <c r="C102" s="328">
        <f>C101+1</f>
        <v>302</v>
      </c>
      <c r="D102" s="327" t="s">
        <v>241</v>
      </c>
      <c r="E102" s="327" t="s">
        <v>242</v>
      </c>
      <c r="F102" s="162">
        <v>3402013530</v>
      </c>
      <c r="G102" s="163" t="s">
        <v>243</v>
      </c>
      <c r="H102" s="68">
        <v>8000</v>
      </c>
      <c r="I102" s="163">
        <v>16000</v>
      </c>
      <c r="J102" s="232"/>
      <c r="K102" s="334">
        <f t="shared" ref="K102:K129" si="16">I102+J102+H102</f>
        <v>24000</v>
      </c>
      <c r="L102" s="325">
        <v>1000</v>
      </c>
      <c r="M102" s="69" t="s">
        <v>753</v>
      </c>
      <c r="N102" s="69"/>
      <c r="O102" s="69"/>
      <c r="P102" s="325"/>
      <c r="Q102" s="68"/>
      <c r="R102" s="68"/>
      <c r="S102" s="68"/>
      <c r="T102" s="325"/>
      <c r="U102" s="68"/>
      <c r="V102" s="68"/>
      <c r="W102" s="68"/>
      <c r="X102" s="325"/>
      <c r="Y102" s="68"/>
      <c r="Z102" s="68"/>
      <c r="AA102" s="69"/>
      <c r="AB102" s="68"/>
      <c r="AC102" s="325"/>
      <c r="AD102" s="325">
        <f t="shared" si="11"/>
        <v>1000</v>
      </c>
      <c r="AE102" s="325">
        <f t="shared" si="12"/>
        <v>-23000</v>
      </c>
      <c r="AF102" s="340"/>
      <c r="AG102" s="298"/>
    </row>
    <row r="103" spans="1:34" s="299" customFormat="1" ht="48.75" customHeight="1" thickBot="1" x14ac:dyDescent="0.55000000000000004">
      <c r="A103" s="279">
        <v>99</v>
      </c>
      <c r="B103" s="325" t="s">
        <v>507</v>
      </c>
      <c r="C103" s="329">
        <f>C102+1</f>
        <v>303</v>
      </c>
      <c r="D103" s="330" t="s">
        <v>244</v>
      </c>
      <c r="E103" s="330" t="s">
        <v>245</v>
      </c>
      <c r="F103" s="164">
        <v>3027153334</v>
      </c>
      <c r="G103" s="161" t="s">
        <v>25</v>
      </c>
      <c r="H103" s="68">
        <v>8000</v>
      </c>
      <c r="I103" s="161">
        <v>40200</v>
      </c>
      <c r="J103" s="232"/>
      <c r="K103" s="334">
        <f t="shared" si="16"/>
        <v>48200</v>
      </c>
      <c r="L103" s="325">
        <v>8000</v>
      </c>
      <c r="M103" s="69" t="s">
        <v>574</v>
      </c>
      <c r="N103" s="69"/>
      <c r="O103" s="69"/>
      <c r="P103" s="325">
        <v>10000</v>
      </c>
      <c r="Q103" s="68" t="s">
        <v>903</v>
      </c>
      <c r="R103" s="68"/>
      <c r="S103" s="68"/>
      <c r="T103" s="325">
        <v>10000</v>
      </c>
      <c r="U103" s="68" t="s">
        <v>1058</v>
      </c>
      <c r="V103" s="68"/>
      <c r="W103" s="68"/>
      <c r="X103" s="325"/>
      <c r="Y103" s="68"/>
      <c r="Z103" s="68"/>
      <c r="AA103" s="69"/>
      <c r="AB103" s="68"/>
      <c r="AC103" s="325"/>
      <c r="AD103" s="325">
        <f t="shared" si="11"/>
        <v>28000</v>
      </c>
      <c r="AE103" s="325">
        <f t="shared" si="12"/>
        <v>-20200</v>
      </c>
      <c r="AF103" s="340"/>
      <c r="AG103" s="298"/>
    </row>
    <row r="104" spans="1:34" s="239" customFormat="1" ht="45.75" customHeight="1" x14ac:dyDescent="0.5">
      <c r="A104" s="233">
        <v>100</v>
      </c>
      <c r="B104" s="234" t="s">
        <v>509</v>
      </c>
      <c r="C104" s="241">
        <v>101</v>
      </c>
      <c r="D104" s="242" t="s">
        <v>246</v>
      </c>
      <c r="E104" s="243" t="s">
        <v>247</v>
      </c>
      <c r="F104" s="166">
        <v>3016374800</v>
      </c>
      <c r="G104" s="165" t="s">
        <v>139</v>
      </c>
      <c r="H104" s="76">
        <v>1000</v>
      </c>
      <c r="I104" s="165">
        <v>100</v>
      </c>
      <c r="J104" s="165"/>
      <c r="K104" s="237">
        <f t="shared" si="16"/>
        <v>1100</v>
      </c>
      <c r="L104" s="234">
        <v>1000</v>
      </c>
      <c r="M104" s="78" t="s">
        <v>689</v>
      </c>
      <c r="N104" s="78"/>
      <c r="O104" s="78"/>
      <c r="P104" s="234">
        <v>100</v>
      </c>
      <c r="Q104" s="76" t="s">
        <v>795</v>
      </c>
      <c r="R104" s="108"/>
      <c r="S104" s="76"/>
      <c r="T104" s="234"/>
      <c r="U104" s="76"/>
      <c r="V104" s="76"/>
      <c r="W104" s="76"/>
      <c r="X104" s="247"/>
      <c r="Y104" s="76"/>
      <c r="Z104" s="76"/>
      <c r="AA104" s="78"/>
      <c r="AB104" s="76"/>
      <c r="AC104" s="234"/>
      <c r="AD104" s="247">
        <f t="shared" si="11"/>
        <v>1100</v>
      </c>
      <c r="AE104" s="234">
        <f t="shared" si="12"/>
        <v>0</v>
      </c>
      <c r="AF104" s="240"/>
      <c r="AG104" s="238"/>
    </row>
    <row r="105" spans="1:34" s="239" customFormat="1" ht="45.75" customHeight="1" x14ac:dyDescent="0.5">
      <c r="A105" s="233">
        <v>101</v>
      </c>
      <c r="B105" s="234" t="s">
        <v>509</v>
      </c>
      <c r="C105" s="244">
        <f t="shared" ref="C105:C129" si="17">C104+1</f>
        <v>102</v>
      </c>
      <c r="D105" s="236" t="s">
        <v>248</v>
      </c>
      <c r="E105" s="236" t="s">
        <v>249</v>
      </c>
      <c r="F105" s="167">
        <v>3417995148</v>
      </c>
      <c r="G105" s="146" t="s">
        <v>250</v>
      </c>
      <c r="H105" s="76">
        <v>8000</v>
      </c>
      <c r="I105" s="146">
        <v>100</v>
      </c>
      <c r="J105" s="146"/>
      <c r="K105" s="237">
        <f t="shared" si="16"/>
        <v>8100</v>
      </c>
      <c r="L105" s="234">
        <v>8000</v>
      </c>
      <c r="M105" s="78" t="s">
        <v>560</v>
      </c>
      <c r="N105" s="78"/>
      <c r="O105" s="78"/>
      <c r="P105" s="234"/>
      <c r="Q105" s="76"/>
      <c r="R105" s="108"/>
      <c r="S105" s="76"/>
      <c r="T105" s="234"/>
      <c r="U105" s="76"/>
      <c r="V105" s="76"/>
      <c r="W105" s="76"/>
      <c r="X105" s="247"/>
      <c r="Y105" s="76"/>
      <c r="Z105" s="76"/>
      <c r="AA105" s="78"/>
      <c r="AB105" s="76"/>
      <c r="AC105" s="234"/>
      <c r="AD105" s="247">
        <f t="shared" ref="AD105:AD129" si="18">L105+P105+T105+X105+AB105+N105+R105+V105+Z105</f>
        <v>8000</v>
      </c>
      <c r="AE105" s="234">
        <f t="shared" ref="AE105:AE129" si="19">AD105-K105</f>
        <v>-100</v>
      </c>
      <c r="AF105" s="240"/>
      <c r="AG105" s="238"/>
    </row>
    <row r="106" spans="1:34" s="239" customFormat="1" ht="45.75" customHeight="1" x14ac:dyDescent="0.5">
      <c r="A106" s="233">
        <v>102</v>
      </c>
      <c r="B106" s="234" t="s">
        <v>509</v>
      </c>
      <c r="C106" s="244">
        <f t="shared" si="17"/>
        <v>103</v>
      </c>
      <c r="D106" s="245" t="s">
        <v>251</v>
      </c>
      <c r="E106" s="245" t="s">
        <v>165</v>
      </c>
      <c r="F106" s="168">
        <v>3216082142</v>
      </c>
      <c r="G106" s="169" t="s">
        <v>30</v>
      </c>
      <c r="H106" s="76">
        <v>1000</v>
      </c>
      <c r="I106" s="146">
        <v>100</v>
      </c>
      <c r="J106" s="146"/>
      <c r="K106" s="237">
        <f t="shared" si="16"/>
        <v>1100</v>
      </c>
      <c r="L106" s="234">
        <v>1000</v>
      </c>
      <c r="M106" s="78" t="s">
        <v>742</v>
      </c>
      <c r="N106" s="78"/>
      <c r="O106" s="78"/>
      <c r="P106" s="234">
        <v>100</v>
      </c>
      <c r="Q106" s="76" t="s">
        <v>803</v>
      </c>
      <c r="R106" s="108"/>
      <c r="S106" s="76"/>
      <c r="T106" s="234"/>
      <c r="U106" s="76"/>
      <c r="V106" s="76"/>
      <c r="W106" s="76"/>
      <c r="X106" s="247"/>
      <c r="Y106" s="76"/>
      <c r="Z106" s="76"/>
      <c r="AA106" s="78"/>
      <c r="AB106" s="76"/>
      <c r="AC106" s="234"/>
      <c r="AD106" s="247">
        <f t="shared" si="18"/>
        <v>1100</v>
      </c>
      <c r="AE106" s="234">
        <f t="shared" si="19"/>
        <v>0</v>
      </c>
      <c r="AF106" s="240"/>
      <c r="AG106" s="238"/>
    </row>
    <row r="107" spans="1:34" s="239" customFormat="1" ht="45.75" customHeight="1" x14ac:dyDescent="0.5">
      <c r="A107" s="233">
        <v>103</v>
      </c>
      <c r="B107" s="234" t="s">
        <v>509</v>
      </c>
      <c r="C107" s="244">
        <f t="shared" si="17"/>
        <v>104</v>
      </c>
      <c r="D107" s="246" t="s">
        <v>252</v>
      </c>
      <c r="E107" s="236" t="s">
        <v>212</v>
      </c>
      <c r="F107" s="167" t="s">
        <v>213</v>
      </c>
      <c r="G107" s="146" t="s">
        <v>214</v>
      </c>
      <c r="H107" s="76">
        <v>8000</v>
      </c>
      <c r="I107" s="146">
        <v>100</v>
      </c>
      <c r="J107" s="146"/>
      <c r="K107" s="237">
        <f t="shared" si="16"/>
        <v>8100</v>
      </c>
      <c r="L107" s="234">
        <v>8000</v>
      </c>
      <c r="M107" s="78" t="s">
        <v>599</v>
      </c>
      <c r="N107" s="78"/>
      <c r="O107" s="78"/>
      <c r="P107" s="234"/>
      <c r="Q107" s="76"/>
      <c r="R107" s="108"/>
      <c r="S107" s="76"/>
      <c r="T107" s="234"/>
      <c r="U107" s="76"/>
      <c r="V107" s="76"/>
      <c r="W107" s="76"/>
      <c r="X107" s="247"/>
      <c r="Y107" s="76"/>
      <c r="Z107" s="76"/>
      <c r="AA107" s="78"/>
      <c r="AB107" s="76"/>
      <c r="AC107" s="234"/>
      <c r="AD107" s="247">
        <f t="shared" si="18"/>
        <v>8000</v>
      </c>
      <c r="AE107" s="234">
        <f t="shared" si="19"/>
        <v>-100</v>
      </c>
      <c r="AF107" s="240"/>
      <c r="AG107" s="238"/>
      <c r="AH107" s="238"/>
    </row>
    <row r="108" spans="1:34" s="239" customFormat="1" ht="45.75" customHeight="1" x14ac:dyDescent="0.5">
      <c r="A108" s="233">
        <v>104</v>
      </c>
      <c r="B108" s="234" t="s">
        <v>509</v>
      </c>
      <c r="C108" s="244">
        <f t="shared" si="17"/>
        <v>105</v>
      </c>
      <c r="D108" s="236" t="s">
        <v>253</v>
      </c>
      <c r="E108" s="236" t="s">
        <v>254</v>
      </c>
      <c r="F108" s="167">
        <v>3436040439</v>
      </c>
      <c r="G108" s="146" t="s">
        <v>255</v>
      </c>
      <c r="H108" s="76">
        <v>8000</v>
      </c>
      <c r="I108" s="146">
        <v>100</v>
      </c>
      <c r="J108" s="146"/>
      <c r="K108" s="237">
        <f t="shared" si="16"/>
        <v>8100</v>
      </c>
      <c r="L108" s="234">
        <v>8000</v>
      </c>
      <c r="M108" s="78" t="s">
        <v>635</v>
      </c>
      <c r="N108" s="78"/>
      <c r="O108" s="78"/>
      <c r="P108" s="234"/>
      <c r="Q108" s="76"/>
      <c r="R108" s="108"/>
      <c r="S108" s="76"/>
      <c r="T108" s="234"/>
      <c r="U108" s="76"/>
      <c r="V108" s="76"/>
      <c r="W108" s="76"/>
      <c r="X108" s="247"/>
      <c r="Y108" s="76"/>
      <c r="Z108" s="76"/>
      <c r="AA108" s="78"/>
      <c r="AB108" s="76"/>
      <c r="AC108" s="234"/>
      <c r="AD108" s="247">
        <f t="shared" si="18"/>
        <v>8000</v>
      </c>
      <c r="AE108" s="234">
        <f t="shared" si="19"/>
        <v>-100</v>
      </c>
      <c r="AF108" s="240"/>
      <c r="AG108" s="238"/>
    </row>
    <row r="109" spans="1:34" s="239" customFormat="1" ht="45.75" customHeight="1" x14ac:dyDescent="0.5">
      <c r="A109" s="233">
        <v>105</v>
      </c>
      <c r="B109" s="247" t="s">
        <v>509</v>
      </c>
      <c r="C109" s="248">
        <f t="shared" si="17"/>
        <v>106</v>
      </c>
      <c r="D109" s="249" t="s">
        <v>256</v>
      </c>
      <c r="E109" s="249" t="s">
        <v>178</v>
      </c>
      <c r="F109" s="168">
        <v>3463598430</v>
      </c>
      <c r="G109" s="171" t="s">
        <v>182</v>
      </c>
      <c r="H109" s="76">
        <v>8000</v>
      </c>
      <c r="I109" s="170">
        <v>6000</v>
      </c>
      <c r="J109" s="170">
        <v>40000</v>
      </c>
      <c r="K109" s="250">
        <f t="shared" si="16"/>
        <v>54000</v>
      </c>
      <c r="L109" s="247">
        <v>8000</v>
      </c>
      <c r="M109" s="78" t="s">
        <v>589</v>
      </c>
      <c r="N109" s="78"/>
      <c r="O109" s="78"/>
      <c r="P109" s="247">
        <v>14000</v>
      </c>
      <c r="Q109" s="76" t="s">
        <v>882</v>
      </c>
      <c r="R109" s="76"/>
      <c r="S109" s="76"/>
      <c r="T109" s="247">
        <v>15000</v>
      </c>
      <c r="U109" s="76"/>
      <c r="V109" s="76"/>
      <c r="W109" s="76"/>
      <c r="X109" s="247"/>
      <c r="Y109" s="76"/>
      <c r="Z109" s="76"/>
      <c r="AA109" s="78"/>
      <c r="AB109" s="76"/>
      <c r="AC109" s="247"/>
      <c r="AD109" s="247">
        <f t="shared" si="18"/>
        <v>37000</v>
      </c>
      <c r="AE109" s="247">
        <f t="shared" si="19"/>
        <v>-17000</v>
      </c>
      <c r="AF109" s="251"/>
      <c r="AG109" s="238"/>
    </row>
    <row r="110" spans="1:34" s="34" customFormat="1" ht="45.75" customHeight="1" x14ac:dyDescent="0.35">
      <c r="A110" s="59">
        <v>106</v>
      </c>
      <c r="B110" s="76" t="s">
        <v>509</v>
      </c>
      <c r="C110" s="170">
        <f t="shared" si="17"/>
        <v>107</v>
      </c>
      <c r="D110" s="87" t="s">
        <v>257</v>
      </c>
      <c r="E110" s="87" t="s">
        <v>258</v>
      </c>
      <c r="F110" s="167">
        <v>3438279067</v>
      </c>
      <c r="G110" s="170" t="s">
        <v>21</v>
      </c>
      <c r="H110" s="76">
        <v>8000</v>
      </c>
      <c r="I110" s="170">
        <v>36000</v>
      </c>
      <c r="J110" s="170"/>
      <c r="K110" s="77">
        <f t="shared" si="16"/>
        <v>44000</v>
      </c>
      <c r="L110" s="76">
        <v>8000</v>
      </c>
      <c r="M110" s="78" t="s">
        <v>540</v>
      </c>
      <c r="N110" s="78"/>
      <c r="O110" s="78"/>
      <c r="P110" s="76">
        <v>9000</v>
      </c>
      <c r="Q110" s="76" t="s">
        <v>874</v>
      </c>
      <c r="R110" s="76"/>
      <c r="S110" s="76"/>
      <c r="T110" s="76">
        <v>9000</v>
      </c>
      <c r="U110" s="76">
        <v>933</v>
      </c>
      <c r="V110" s="76"/>
      <c r="W110" s="76"/>
      <c r="X110" s="76">
        <v>8000</v>
      </c>
      <c r="Y110" s="76" t="s">
        <v>1149</v>
      </c>
      <c r="Z110" s="76"/>
      <c r="AA110" s="78"/>
      <c r="AB110" s="76"/>
      <c r="AC110" s="76"/>
      <c r="AD110" s="76">
        <f t="shared" si="18"/>
        <v>34000</v>
      </c>
      <c r="AE110" s="76">
        <f t="shared" si="19"/>
        <v>-10000</v>
      </c>
      <c r="AF110" s="79"/>
      <c r="AG110" s="33"/>
    </row>
    <row r="111" spans="1:34" s="34" customFormat="1" ht="45.75" customHeight="1" x14ac:dyDescent="0.35">
      <c r="A111" s="59">
        <v>107</v>
      </c>
      <c r="B111" s="76" t="s">
        <v>509</v>
      </c>
      <c r="C111" s="170">
        <f t="shared" si="17"/>
        <v>108</v>
      </c>
      <c r="D111" s="88" t="s">
        <v>259</v>
      </c>
      <c r="E111" s="88" t="s">
        <v>260</v>
      </c>
      <c r="F111" s="168">
        <v>3357908810</v>
      </c>
      <c r="G111" s="171" t="s">
        <v>182</v>
      </c>
      <c r="H111" s="76">
        <v>8000</v>
      </c>
      <c r="I111" s="170">
        <v>32000</v>
      </c>
      <c r="J111" s="170"/>
      <c r="K111" s="77">
        <f t="shared" si="16"/>
        <v>40000</v>
      </c>
      <c r="L111" s="76">
        <v>8000</v>
      </c>
      <c r="M111" s="78" t="s">
        <v>604</v>
      </c>
      <c r="N111" s="78"/>
      <c r="O111" s="78"/>
      <c r="P111" s="76">
        <v>9000</v>
      </c>
      <c r="Q111" s="76" t="s">
        <v>859</v>
      </c>
      <c r="R111" s="76"/>
      <c r="S111" s="76"/>
      <c r="T111" s="76">
        <v>8000</v>
      </c>
      <c r="U111" s="76" t="s">
        <v>979</v>
      </c>
      <c r="V111" s="76"/>
      <c r="W111" s="76"/>
      <c r="X111" s="76">
        <v>9000</v>
      </c>
      <c r="Y111" s="76" t="s">
        <v>1074</v>
      </c>
      <c r="Z111" s="76"/>
      <c r="AA111" s="78"/>
      <c r="AB111" s="76"/>
      <c r="AC111" s="76"/>
      <c r="AD111" s="76">
        <f t="shared" si="18"/>
        <v>34000</v>
      </c>
      <c r="AE111" s="76">
        <f t="shared" si="19"/>
        <v>-6000</v>
      </c>
      <c r="AF111" s="79"/>
      <c r="AG111" s="33"/>
    </row>
    <row r="112" spans="1:34" s="239" customFormat="1" ht="44.25" customHeight="1" x14ac:dyDescent="0.5">
      <c r="A112" s="233">
        <v>108</v>
      </c>
      <c r="B112" s="247" t="s">
        <v>509</v>
      </c>
      <c r="C112" s="248">
        <f t="shared" si="17"/>
        <v>109</v>
      </c>
      <c r="D112" s="252" t="s">
        <v>261</v>
      </c>
      <c r="E112" s="252" t="s">
        <v>262</v>
      </c>
      <c r="F112" s="167">
        <v>3023439412</v>
      </c>
      <c r="G112" s="170" t="s">
        <v>263</v>
      </c>
      <c r="H112" s="76">
        <v>8000</v>
      </c>
      <c r="I112" s="170">
        <v>17000</v>
      </c>
      <c r="J112" s="170">
        <v>50000</v>
      </c>
      <c r="K112" s="250">
        <f t="shared" si="16"/>
        <v>75000</v>
      </c>
      <c r="L112" s="247">
        <v>8000</v>
      </c>
      <c r="M112" s="78" t="s">
        <v>695</v>
      </c>
      <c r="N112" s="78"/>
      <c r="O112" s="78"/>
      <c r="P112" s="247">
        <f>12000</f>
        <v>12000</v>
      </c>
      <c r="Q112" s="76" t="s">
        <v>1083</v>
      </c>
      <c r="R112" s="76">
        <v>25000</v>
      </c>
      <c r="S112" s="76"/>
      <c r="T112" s="247"/>
      <c r="U112" s="76"/>
      <c r="V112" s="76"/>
      <c r="W112" s="76"/>
      <c r="X112" s="247"/>
      <c r="Y112" s="76"/>
      <c r="Z112" s="76"/>
      <c r="AA112" s="78"/>
      <c r="AB112" s="76"/>
      <c r="AC112" s="247"/>
      <c r="AD112" s="247">
        <f t="shared" si="18"/>
        <v>45000</v>
      </c>
      <c r="AE112" s="247">
        <f t="shared" si="19"/>
        <v>-30000</v>
      </c>
      <c r="AF112" s="251"/>
      <c r="AG112" s="238"/>
    </row>
    <row r="113" spans="1:33" s="239" customFormat="1" ht="45.75" customHeight="1" x14ac:dyDescent="0.5">
      <c r="A113" s="233">
        <v>109</v>
      </c>
      <c r="B113" s="247" t="s">
        <v>509</v>
      </c>
      <c r="C113" s="248">
        <f t="shared" si="17"/>
        <v>110</v>
      </c>
      <c r="D113" s="252" t="s">
        <v>264</v>
      </c>
      <c r="E113" s="252" t="s">
        <v>265</v>
      </c>
      <c r="F113" s="167">
        <v>3069850021</v>
      </c>
      <c r="G113" s="167" t="s">
        <v>139</v>
      </c>
      <c r="H113" s="76">
        <v>8000</v>
      </c>
      <c r="I113" s="170">
        <v>27000</v>
      </c>
      <c r="J113" s="170"/>
      <c r="K113" s="250">
        <f t="shared" si="16"/>
        <v>35000</v>
      </c>
      <c r="L113" s="247">
        <v>8000</v>
      </c>
      <c r="M113" s="78" t="s">
        <v>734</v>
      </c>
      <c r="N113" s="78"/>
      <c r="O113" s="78"/>
      <c r="P113" s="247">
        <v>8000</v>
      </c>
      <c r="Q113" s="76" t="s">
        <v>884</v>
      </c>
      <c r="R113" s="76"/>
      <c r="S113" s="76"/>
      <c r="T113" s="247">
        <v>6500</v>
      </c>
      <c r="U113" s="76">
        <v>943</v>
      </c>
      <c r="V113" s="76"/>
      <c r="W113" s="76"/>
      <c r="X113" s="247"/>
      <c r="Y113" s="76"/>
      <c r="Z113" s="76"/>
      <c r="AA113" s="78"/>
      <c r="AB113" s="76"/>
      <c r="AC113" s="247"/>
      <c r="AD113" s="247">
        <f t="shared" si="18"/>
        <v>22500</v>
      </c>
      <c r="AE113" s="247">
        <f t="shared" si="19"/>
        <v>-12500</v>
      </c>
      <c r="AF113" s="251"/>
      <c r="AG113" s="238"/>
    </row>
    <row r="114" spans="1:33" s="34" customFormat="1" ht="45.75" customHeight="1" x14ac:dyDescent="0.35">
      <c r="A114" s="59">
        <v>110</v>
      </c>
      <c r="B114" s="76" t="s">
        <v>509</v>
      </c>
      <c r="C114" s="170">
        <f t="shared" si="17"/>
        <v>111</v>
      </c>
      <c r="D114" s="88" t="s">
        <v>266</v>
      </c>
      <c r="E114" s="88" t="s">
        <v>267</v>
      </c>
      <c r="F114" s="168">
        <v>3095586023</v>
      </c>
      <c r="G114" s="171" t="s">
        <v>137</v>
      </c>
      <c r="H114" s="76">
        <v>8000</v>
      </c>
      <c r="I114" s="170">
        <v>36000</v>
      </c>
      <c r="J114" s="170"/>
      <c r="K114" s="77">
        <f t="shared" si="16"/>
        <v>44000</v>
      </c>
      <c r="L114" s="76">
        <v>8000</v>
      </c>
      <c r="M114" s="78" t="s">
        <v>758</v>
      </c>
      <c r="N114" s="78"/>
      <c r="O114" s="78"/>
      <c r="P114" s="76"/>
      <c r="Q114" s="76"/>
      <c r="R114" s="76"/>
      <c r="S114" s="76"/>
      <c r="T114" s="76">
        <v>18000</v>
      </c>
      <c r="U114" s="76" t="s">
        <v>982</v>
      </c>
      <c r="V114" s="76"/>
      <c r="W114" s="76"/>
      <c r="X114" s="76">
        <v>9000</v>
      </c>
      <c r="Y114" s="76" t="s">
        <v>1108</v>
      </c>
      <c r="Z114" s="76"/>
      <c r="AA114" s="78"/>
      <c r="AB114" s="76"/>
      <c r="AC114" s="76"/>
      <c r="AD114" s="76">
        <f t="shared" si="18"/>
        <v>35000</v>
      </c>
      <c r="AE114" s="76">
        <f t="shared" si="19"/>
        <v>-9000</v>
      </c>
      <c r="AF114" s="79"/>
      <c r="AG114" s="33"/>
    </row>
    <row r="115" spans="1:33" s="239" customFormat="1" ht="45.75" customHeight="1" x14ac:dyDescent="0.5">
      <c r="A115" s="233">
        <v>111</v>
      </c>
      <c r="B115" s="247" t="s">
        <v>509</v>
      </c>
      <c r="C115" s="248">
        <f t="shared" si="17"/>
        <v>112</v>
      </c>
      <c r="D115" s="252" t="s">
        <v>268</v>
      </c>
      <c r="E115" s="249" t="s">
        <v>269</v>
      </c>
      <c r="F115" s="167">
        <v>3026088094</v>
      </c>
      <c r="G115" s="170" t="s">
        <v>182</v>
      </c>
      <c r="H115" s="76">
        <v>8000</v>
      </c>
      <c r="I115" s="170">
        <v>10000</v>
      </c>
      <c r="J115" s="170"/>
      <c r="K115" s="250">
        <f t="shared" si="16"/>
        <v>18000</v>
      </c>
      <c r="L115" s="247">
        <v>5000</v>
      </c>
      <c r="M115" s="78" t="s">
        <v>672</v>
      </c>
      <c r="N115" s="78"/>
      <c r="O115" s="78"/>
      <c r="P115" s="247">
        <v>4000</v>
      </c>
      <c r="Q115" s="76" t="s">
        <v>1039</v>
      </c>
      <c r="R115" s="76"/>
      <c r="S115" s="76"/>
      <c r="T115" s="247"/>
      <c r="U115" s="76"/>
      <c r="V115" s="76"/>
      <c r="W115" s="76"/>
      <c r="X115" s="247"/>
      <c r="Y115" s="76"/>
      <c r="Z115" s="76"/>
      <c r="AA115" s="78"/>
      <c r="AB115" s="76"/>
      <c r="AC115" s="247"/>
      <c r="AD115" s="247">
        <f t="shared" si="18"/>
        <v>9000</v>
      </c>
      <c r="AE115" s="247">
        <f t="shared" si="19"/>
        <v>-9000</v>
      </c>
      <c r="AF115" s="251"/>
      <c r="AG115" s="238"/>
    </row>
    <row r="116" spans="1:33" s="239" customFormat="1" ht="45.75" customHeight="1" x14ac:dyDescent="0.5">
      <c r="A116" s="233">
        <v>112</v>
      </c>
      <c r="B116" s="247" t="s">
        <v>509</v>
      </c>
      <c r="C116" s="248">
        <f t="shared" si="17"/>
        <v>113</v>
      </c>
      <c r="D116" s="249" t="s">
        <v>270</v>
      </c>
      <c r="E116" s="249" t="s">
        <v>271</v>
      </c>
      <c r="F116" s="167">
        <v>3088370321</v>
      </c>
      <c r="G116" s="170" t="s">
        <v>272</v>
      </c>
      <c r="H116" s="76">
        <v>8000</v>
      </c>
      <c r="I116" s="170">
        <v>32000</v>
      </c>
      <c r="J116" s="170"/>
      <c r="K116" s="250">
        <f t="shared" si="16"/>
        <v>40000</v>
      </c>
      <c r="L116" s="247">
        <v>8000</v>
      </c>
      <c r="M116" s="78" t="s">
        <v>748</v>
      </c>
      <c r="N116" s="78"/>
      <c r="O116" s="78"/>
      <c r="P116" s="247">
        <v>10600</v>
      </c>
      <c r="Q116" s="76" t="s">
        <v>901</v>
      </c>
      <c r="R116" s="76"/>
      <c r="S116" s="76"/>
      <c r="T116" s="247"/>
      <c r="U116" s="76"/>
      <c r="V116" s="76"/>
      <c r="W116" s="76"/>
      <c r="X116" s="247"/>
      <c r="Y116" s="76"/>
      <c r="Z116" s="76"/>
      <c r="AA116" s="78"/>
      <c r="AB116" s="76"/>
      <c r="AC116" s="247"/>
      <c r="AD116" s="247">
        <f t="shared" si="18"/>
        <v>18600</v>
      </c>
      <c r="AE116" s="247">
        <f t="shared" si="19"/>
        <v>-21400</v>
      </c>
      <c r="AF116" s="251"/>
      <c r="AG116" s="238"/>
    </row>
    <row r="117" spans="1:33" s="239" customFormat="1" ht="45.75" customHeight="1" x14ac:dyDescent="0.5">
      <c r="A117" s="233">
        <v>113</v>
      </c>
      <c r="B117" s="247" t="s">
        <v>509</v>
      </c>
      <c r="C117" s="248"/>
      <c r="D117" s="249" t="s">
        <v>1046</v>
      </c>
      <c r="E117" s="249" t="s">
        <v>1047</v>
      </c>
      <c r="F117" s="167"/>
      <c r="G117" s="170"/>
      <c r="H117" s="76">
        <v>8000</v>
      </c>
      <c r="I117" s="170">
        <v>24000</v>
      </c>
      <c r="J117" s="170"/>
      <c r="K117" s="250">
        <f t="shared" si="16"/>
        <v>32000</v>
      </c>
      <c r="L117" s="247"/>
      <c r="M117" s="78"/>
      <c r="N117" s="78"/>
      <c r="O117" s="78"/>
      <c r="P117" s="247"/>
      <c r="Q117" s="76"/>
      <c r="R117" s="76"/>
      <c r="S117" s="76"/>
      <c r="T117" s="247"/>
      <c r="U117" s="76"/>
      <c r="V117" s="76"/>
      <c r="W117" s="76"/>
      <c r="X117" s="247"/>
      <c r="Y117" s="76"/>
      <c r="Z117" s="76"/>
      <c r="AA117" s="78"/>
      <c r="AB117" s="76"/>
      <c r="AC117" s="247"/>
      <c r="AD117" s="247">
        <f t="shared" ref="AD117" si="20">L117+P117+T117+X117+AB117+N117+R117+V117+Z117</f>
        <v>0</v>
      </c>
      <c r="AE117" s="247">
        <f t="shared" ref="AE117" si="21">AD117-K117</f>
        <v>-32000</v>
      </c>
      <c r="AF117" s="251"/>
      <c r="AG117" s="238"/>
    </row>
    <row r="118" spans="1:33" s="239" customFormat="1" ht="45.75" customHeight="1" x14ac:dyDescent="0.5">
      <c r="A118" s="233">
        <v>114</v>
      </c>
      <c r="B118" s="247" t="s">
        <v>509</v>
      </c>
      <c r="C118" s="248">
        <f>C116+1</f>
        <v>114</v>
      </c>
      <c r="D118" s="249" t="s">
        <v>273</v>
      </c>
      <c r="E118" s="249" t="s">
        <v>274</v>
      </c>
      <c r="F118" s="167">
        <v>3328059203</v>
      </c>
      <c r="G118" s="170" t="s">
        <v>22</v>
      </c>
      <c r="H118" s="76">
        <v>8000</v>
      </c>
      <c r="I118" s="170">
        <v>22000</v>
      </c>
      <c r="J118" s="170">
        <v>50000</v>
      </c>
      <c r="K118" s="250">
        <f t="shared" si="16"/>
        <v>80000</v>
      </c>
      <c r="L118" s="247">
        <v>8000</v>
      </c>
      <c r="M118" s="78" t="s">
        <v>675</v>
      </c>
      <c r="N118" s="78"/>
      <c r="O118" s="78"/>
      <c r="P118" s="247">
        <v>12000</v>
      </c>
      <c r="Q118" s="76" t="s">
        <v>793</v>
      </c>
      <c r="R118" s="76">
        <v>20000</v>
      </c>
      <c r="S118" s="76"/>
      <c r="T118" s="247"/>
      <c r="U118" s="76"/>
      <c r="V118" s="76"/>
      <c r="W118" s="76"/>
      <c r="X118" s="247"/>
      <c r="Y118" s="76"/>
      <c r="Z118" s="76"/>
      <c r="AA118" s="78"/>
      <c r="AB118" s="76"/>
      <c r="AC118" s="247"/>
      <c r="AD118" s="247">
        <f t="shared" si="18"/>
        <v>40000</v>
      </c>
      <c r="AE118" s="247">
        <f t="shared" si="19"/>
        <v>-40000</v>
      </c>
      <c r="AF118" s="251"/>
      <c r="AG118" s="238"/>
    </row>
    <row r="119" spans="1:33" s="34" customFormat="1" ht="45.75" customHeight="1" x14ac:dyDescent="0.35">
      <c r="A119" s="59">
        <v>115</v>
      </c>
      <c r="B119" s="76" t="s">
        <v>509</v>
      </c>
      <c r="C119" s="170">
        <f t="shared" si="17"/>
        <v>115</v>
      </c>
      <c r="D119" s="87" t="s">
        <v>275</v>
      </c>
      <c r="E119" s="88" t="s">
        <v>55</v>
      </c>
      <c r="F119" s="168">
        <v>3700428540</v>
      </c>
      <c r="G119" s="171" t="s">
        <v>18</v>
      </c>
      <c r="H119" s="76">
        <v>8000</v>
      </c>
      <c r="I119" s="170">
        <v>27000</v>
      </c>
      <c r="J119" s="170"/>
      <c r="K119" s="77">
        <f t="shared" si="16"/>
        <v>35000</v>
      </c>
      <c r="L119" s="76">
        <v>8000</v>
      </c>
      <c r="M119" s="78"/>
      <c r="N119" s="78"/>
      <c r="O119" s="78"/>
      <c r="P119" s="76">
        <v>8000</v>
      </c>
      <c r="Q119" s="76" t="s">
        <v>850</v>
      </c>
      <c r="R119" s="76"/>
      <c r="S119" s="76"/>
      <c r="T119" s="76">
        <v>2000</v>
      </c>
      <c r="U119" s="76">
        <v>941</v>
      </c>
      <c r="V119" s="76"/>
      <c r="W119" s="76"/>
      <c r="X119" s="76">
        <v>8000</v>
      </c>
      <c r="Y119" s="76" t="s">
        <v>1092</v>
      </c>
      <c r="Z119" s="76"/>
      <c r="AA119" s="78"/>
      <c r="AB119" s="76"/>
      <c r="AC119" s="76"/>
      <c r="AD119" s="76">
        <f t="shared" si="18"/>
        <v>26000</v>
      </c>
      <c r="AE119" s="76">
        <f t="shared" si="19"/>
        <v>-9000</v>
      </c>
      <c r="AF119" s="79"/>
      <c r="AG119" s="33"/>
    </row>
    <row r="120" spans="1:33" s="239" customFormat="1" ht="45.75" customHeight="1" x14ac:dyDescent="0.5">
      <c r="A120" s="233">
        <v>116</v>
      </c>
      <c r="B120" s="247" t="s">
        <v>509</v>
      </c>
      <c r="C120" s="248">
        <f t="shared" si="17"/>
        <v>116</v>
      </c>
      <c r="D120" s="252" t="s">
        <v>276</v>
      </c>
      <c r="E120" s="249" t="s">
        <v>277</v>
      </c>
      <c r="F120" s="167"/>
      <c r="G120" s="170">
        <v>142</v>
      </c>
      <c r="H120" s="76">
        <v>8000</v>
      </c>
      <c r="I120" s="170">
        <v>36000</v>
      </c>
      <c r="J120" s="170"/>
      <c r="K120" s="250">
        <f t="shared" si="16"/>
        <v>44000</v>
      </c>
      <c r="L120" s="247">
        <v>8000</v>
      </c>
      <c r="M120" s="78" t="s">
        <v>678</v>
      </c>
      <c r="N120" s="78"/>
      <c r="O120" s="78"/>
      <c r="P120" s="247"/>
      <c r="Q120" s="76"/>
      <c r="R120" s="76"/>
      <c r="S120" s="76"/>
      <c r="T120" s="247">
        <v>16000</v>
      </c>
      <c r="U120" s="76" t="s">
        <v>1006</v>
      </c>
      <c r="V120" s="76"/>
      <c r="W120" s="76"/>
      <c r="X120" s="247"/>
      <c r="Y120" s="76"/>
      <c r="Z120" s="76"/>
      <c r="AA120" s="78"/>
      <c r="AB120" s="76"/>
      <c r="AC120" s="247"/>
      <c r="AD120" s="247">
        <f t="shared" si="18"/>
        <v>24000</v>
      </c>
      <c r="AE120" s="247">
        <f t="shared" si="19"/>
        <v>-20000</v>
      </c>
      <c r="AF120" s="251"/>
      <c r="AG120" s="238"/>
    </row>
    <row r="121" spans="1:33" s="34" customFormat="1" ht="45.75" customHeight="1" x14ac:dyDescent="0.35">
      <c r="A121" s="59">
        <v>117</v>
      </c>
      <c r="B121" s="76" t="s">
        <v>509</v>
      </c>
      <c r="C121" s="170">
        <f t="shared" si="17"/>
        <v>117</v>
      </c>
      <c r="D121" s="88" t="s">
        <v>278</v>
      </c>
      <c r="E121" s="88" t="s">
        <v>99</v>
      </c>
      <c r="F121" s="168">
        <v>3484966217</v>
      </c>
      <c r="G121" s="171" t="s">
        <v>279</v>
      </c>
      <c r="H121" s="76">
        <v>8000</v>
      </c>
      <c r="I121" s="170">
        <v>32000</v>
      </c>
      <c r="J121" s="170"/>
      <c r="K121" s="77">
        <f t="shared" si="16"/>
        <v>40000</v>
      </c>
      <c r="L121" s="76">
        <v>8000</v>
      </c>
      <c r="M121" s="78" t="s">
        <v>733</v>
      </c>
      <c r="N121" s="78"/>
      <c r="O121" s="78"/>
      <c r="P121" s="76">
        <v>8000</v>
      </c>
      <c r="Q121" s="76" t="s">
        <v>843</v>
      </c>
      <c r="R121" s="76"/>
      <c r="S121" s="76"/>
      <c r="T121" s="76">
        <v>8000</v>
      </c>
      <c r="U121" s="76" t="s">
        <v>954</v>
      </c>
      <c r="V121" s="76"/>
      <c r="W121" s="76"/>
      <c r="X121" s="76">
        <v>8000</v>
      </c>
      <c r="Y121" s="76" t="s">
        <v>1133</v>
      </c>
      <c r="Z121" s="76"/>
      <c r="AA121" s="78"/>
      <c r="AB121" s="76"/>
      <c r="AC121" s="76"/>
      <c r="AD121" s="76">
        <f t="shared" si="18"/>
        <v>32000</v>
      </c>
      <c r="AE121" s="76">
        <f t="shared" si="19"/>
        <v>-8000</v>
      </c>
      <c r="AF121" s="79"/>
      <c r="AG121" s="33"/>
    </row>
    <row r="122" spans="1:33" s="239" customFormat="1" ht="45.75" customHeight="1" x14ac:dyDescent="0.5">
      <c r="A122" s="233">
        <v>118</v>
      </c>
      <c r="B122" s="247" t="s">
        <v>509</v>
      </c>
      <c r="C122" s="248">
        <f t="shared" si="17"/>
        <v>118</v>
      </c>
      <c r="D122" s="249" t="s">
        <v>280</v>
      </c>
      <c r="E122" s="249" t="s">
        <v>281</v>
      </c>
      <c r="F122" s="168">
        <v>3004524028</v>
      </c>
      <c r="G122" s="171" t="s">
        <v>282</v>
      </c>
      <c r="H122" s="76">
        <v>8000</v>
      </c>
      <c r="I122" s="170">
        <v>28000</v>
      </c>
      <c r="J122" s="170"/>
      <c r="K122" s="250">
        <f t="shared" si="16"/>
        <v>36000</v>
      </c>
      <c r="L122" s="247">
        <v>5000</v>
      </c>
      <c r="M122" s="78" t="s">
        <v>583</v>
      </c>
      <c r="N122" s="78"/>
      <c r="O122" s="78"/>
      <c r="P122" s="247"/>
      <c r="Q122" s="76"/>
      <c r="R122" s="76"/>
      <c r="S122" s="76"/>
      <c r="T122" s="247">
        <v>12000</v>
      </c>
      <c r="U122" s="76" t="s">
        <v>1037</v>
      </c>
      <c r="V122" s="76"/>
      <c r="W122" s="76"/>
      <c r="X122" s="247"/>
      <c r="Y122" s="76"/>
      <c r="Z122" s="76"/>
      <c r="AA122" s="78"/>
      <c r="AB122" s="76"/>
      <c r="AC122" s="247"/>
      <c r="AD122" s="247">
        <f t="shared" si="18"/>
        <v>17000</v>
      </c>
      <c r="AE122" s="247">
        <f t="shared" si="19"/>
        <v>-19000</v>
      </c>
      <c r="AF122" s="251"/>
      <c r="AG122" s="238"/>
    </row>
    <row r="123" spans="1:33" s="239" customFormat="1" ht="45.75" customHeight="1" x14ac:dyDescent="0.5">
      <c r="A123" s="233">
        <v>119</v>
      </c>
      <c r="B123" s="234" t="s">
        <v>509</v>
      </c>
      <c r="C123" s="244">
        <f t="shared" si="17"/>
        <v>119</v>
      </c>
      <c r="D123" s="235" t="s">
        <v>283</v>
      </c>
      <c r="E123" s="236" t="s">
        <v>284</v>
      </c>
      <c r="F123" s="145">
        <v>3326492015</v>
      </c>
      <c r="G123" s="146" t="s">
        <v>21</v>
      </c>
      <c r="H123" s="108">
        <v>8000</v>
      </c>
      <c r="I123" s="146">
        <v>32000</v>
      </c>
      <c r="J123" s="146"/>
      <c r="K123" s="237">
        <f t="shared" si="16"/>
        <v>40000</v>
      </c>
      <c r="L123" s="234">
        <v>8000</v>
      </c>
      <c r="M123" s="109" t="s">
        <v>700</v>
      </c>
      <c r="N123" s="109"/>
      <c r="O123" s="109"/>
      <c r="P123" s="234">
        <v>32000</v>
      </c>
      <c r="Q123" s="108" t="s">
        <v>798</v>
      </c>
      <c r="R123" s="108"/>
      <c r="S123" s="108"/>
      <c r="T123" s="234"/>
      <c r="U123" s="108"/>
      <c r="V123" s="108"/>
      <c r="W123" s="108"/>
      <c r="X123" s="234"/>
      <c r="Y123" s="108"/>
      <c r="Z123" s="108"/>
      <c r="AA123" s="109"/>
      <c r="AB123" s="108"/>
      <c r="AC123" s="234"/>
      <c r="AD123" s="234">
        <f t="shared" si="18"/>
        <v>40000</v>
      </c>
      <c r="AE123" s="234">
        <f t="shared" si="19"/>
        <v>0</v>
      </c>
      <c r="AF123" s="240"/>
      <c r="AG123" s="238"/>
    </row>
    <row r="124" spans="1:33" s="239" customFormat="1" ht="45.75" customHeight="1" x14ac:dyDescent="0.5">
      <c r="A124" s="233">
        <v>120</v>
      </c>
      <c r="B124" s="247" t="s">
        <v>509</v>
      </c>
      <c r="C124" s="248">
        <f t="shared" si="17"/>
        <v>120</v>
      </c>
      <c r="D124" s="253" t="s">
        <v>285</v>
      </c>
      <c r="E124" s="253" t="s">
        <v>286</v>
      </c>
      <c r="F124" s="167">
        <v>3442580031</v>
      </c>
      <c r="G124" s="170" t="s">
        <v>139</v>
      </c>
      <c r="H124" s="76">
        <v>8000</v>
      </c>
      <c r="I124" s="170">
        <v>42000</v>
      </c>
      <c r="J124" s="170"/>
      <c r="K124" s="250">
        <f t="shared" si="16"/>
        <v>50000</v>
      </c>
      <c r="L124" s="247">
        <v>8000</v>
      </c>
      <c r="M124" s="78" t="s">
        <v>722</v>
      </c>
      <c r="N124" s="78"/>
      <c r="O124" s="78"/>
      <c r="P124" s="247">
        <v>10500</v>
      </c>
      <c r="Q124" s="76" t="s">
        <v>1034</v>
      </c>
      <c r="R124" s="76"/>
      <c r="S124" s="76"/>
      <c r="T124" s="247"/>
      <c r="U124" s="76"/>
      <c r="V124" s="76"/>
      <c r="W124" s="76"/>
      <c r="X124" s="247"/>
      <c r="Y124" s="76"/>
      <c r="Z124" s="76"/>
      <c r="AA124" s="78"/>
      <c r="AB124" s="76"/>
      <c r="AC124" s="247"/>
      <c r="AD124" s="247">
        <f t="shared" si="18"/>
        <v>18500</v>
      </c>
      <c r="AE124" s="247">
        <f t="shared" si="19"/>
        <v>-31500</v>
      </c>
      <c r="AF124" s="251"/>
      <c r="AG124" s="238"/>
    </row>
    <row r="125" spans="1:33" s="239" customFormat="1" ht="45.75" customHeight="1" x14ac:dyDescent="0.5">
      <c r="A125" s="233">
        <v>121</v>
      </c>
      <c r="B125" s="247" t="s">
        <v>509</v>
      </c>
      <c r="C125" s="248">
        <f t="shared" si="17"/>
        <v>121</v>
      </c>
      <c r="D125" s="252" t="s">
        <v>287</v>
      </c>
      <c r="E125" s="252" t="s">
        <v>288</v>
      </c>
      <c r="F125" s="167">
        <v>3067429164</v>
      </c>
      <c r="G125" s="170" t="s">
        <v>141</v>
      </c>
      <c r="H125" s="76">
        <v>8000</v>
      </c>
      <c r="I125" s="170">
        <v>22000</v>
      </c>
      <c r="J125" s="170">
        <v>50000</v>
      </c>
      <c r="K125" s="250">
        <f t="shared" si="16"/>
        <v>80000</v>
      </c>
      <c r="L125" s="247">
        <v>8000</v>
      </c>
      <c r="M125" s="78" t="s">
        <v>694</v>
      </c>
      <c r="N125" s="78"/>
      <c r="O125" s="78"/>
      <c r="P125" s="247">
        <v>12000</v>
      </c>
      <c r="Q125" s="76" t="s">
        <v>801</v>
      </c>
      <c r="R125" s="76"/>
      <c r="S125" s="76"/>
      <c r="T125" s="247">
        <v>10000</v>
      </c>
      <c r="U125" s="76" t="s">
        <v>941</v>
      </c>
      <c r="V125" s="76"/>
      <c r="W125" s="76"/>
      <c r="X125" s="247"/>
      <c r="Y125" s="76"/>
      <c r="Z125" s="76"/>
      <c r="AA125" s="78"/>
      <c r="AB125" s="76"/>
      <c r="AC125" s="247"/>
      <c r="AD125" s="247">
        <f t="shared" si="18"/>
        <v>30000</v>
      </c>
      <c r="AE125" s="247">
        <f t="shared" si="19"/>
        <v>-50000</v>
      </c>
      <c r="AF125" s="251"/>
      <c r="AG125" s="238"/>
    </row>
    <row r="126" spans="1:33" s="34" customFormat="1" ht="45.75" customHeight="1" x14ac:dyDescent="0.35">
      <c r="A126" s="59">
        <v>122</v>
      </c>
      <c r="B126" s="76" t="s">
        <v>509</v>
      </c>
      <c r="C126" s="170">
        <f t="shared" si="17"/>
        <v>122</v>
      </c>
      <c r="D126" s="87" t="s">
        <v>289</v>
      </c>
      <c r="E126" s="87" t="s">
        <v>290</v>
      </c>
      <c r="F126" s="168">
        <v>3039510207</v>
      </c>
      <c r="G126" s="171" t="s">
        <v>42</v>
      </c>
      <c r="H126" s="76">
        <v>8000</v>
      </c>
      <c r="I126" s="170">
        <v>37000</v>
      </c>
      <c r="J126" s="170"/>
      <c r="K126" s="77">
        <f t="shared" si="16"/>
        <v>45000</v>
      </c>
      <c r="L126" s="76">
        <v>8000</v>
      </c>
      <c r="M126" s="78" t="s">
        <v>550</v>
      </c>
      <c r="N126" s="78"/>
      <c r="O126" s="78"/>
      <c r="P126" s="76">
        <v>9250</v>
      </c>
      <c r="Q126" s="76" t="s">
        <v>837</v>
      </c>
      <c r="R126" s="76"/>
      <c r="S126" s="76"/>
      <c r="T126" s="76">
        <v>9000</v>
      </c>
      <c r="U126" s="76" t="s">
        <v>942</v>
      </c>
      <c r="V126" s="76"/>
      <c r="W126" s="76"/>
      <c r="X126" s="76">
        <v>9200</v>
      </c>
      <c r="Y126" s="76" t="s">
        <v>1088</v>
      </c>
      <c r="Z126" s="76"/>
      <c r="AA126" s="78"/>
      <c r="AB126" s="76"/>
      <c r="AC126" s="76"/>
      <c r="AD126" s="76">
        <f t="shared" si="18"/>
        <v>35450</v>
      </c>
      <c r="AE126" s="76">
        <f t="shared" si="19"/>
        <v>-9550</v>
      </c>
      <c r="AF126" s="79"/>
      <c r="AG126" s="33"/>
    </row>
    <row r="127" spans="1:33" s="239" customFormat="1" ht="45.75" customHeight="1" x14ac:dyDescent="0.5">
      <c r="A127" s="233">
        <v>123</v>
      </c>
      <c r="B127" s="247" t="s">
        <v>509</v>
      </c>
      <c r="C127" s="254">
        <f t="shared" si="17"/>
        <v>123</v>
      </c>
      <c r="D127" s="252" t="s">
        <v>291</v>
      </c>
      <c r="E127" s="249" t="s">
        <v>292</v>
      </c>
      <c r="F127" s="167">
        <v>3017072213</v>
      </c>
      <c r="G127" s="170" t="s">
        <v>293</v>
      </c>
      <c r="H127" s="76">
        <v>8000</v>
      </c>
      <c r="I127" s="170">
        <v>32000</v>
      </c>
      <c r="J127" s="170"/>
      <c r="K127" s="250">
        <f t="shared" si="16"/>
        <v>40000</v>
      </c>
      <c r="L127" s="247">
        <v>8000</v>
      </c>
      <c r="M127" s="78" t="s">
        <v>681</v>
      </c>
      <c r="N127" s="78"/>
      <c r="O127" s="78"/>
      <c r="P127" s="247"/>
      <c r="Q127" s="76"/>
      <c r="R127" s="76"/>
      <c r="S127" s="76"/>
      <c r="T127" s="247"/>
      <c r="U127" s="76"/>
      <c r="V127" s="76"/>
      <c r="W127" s="76"/>
      <c r="X127" s="247"/>
      <c r="Y127" s="76"/>
      <c r="Z127" s="76"/>
      <c r="AA127" s="78"/>
      <c r="AB127" s="76"/>
      <c r="AC127" s="247"/>
      <c r="AD127" s="247">
        <f t="shared" si="18"/>
        <v>8000</v>
      </c>
      <c r="AE127" s="247">
        <f t="shared" si="19"/>
        <v>-32000</v>
      </c>
      <c r="AF127" s="251"/>
      <c r="AG127" s="238"/>
    </row>
    <row r="128" spans="1:33" s="34" customFormat="1" ht="45.75" customHeight="1" x14ac:dyDescent="0.35">
      <c r="A128" s="59">
        <v>124</v>
      </c>
      <c r="B128" s="76" t="s">
        <v>509</v>
      </c>
      <c r="C128" s="170">
        <f t="shared" si="17"/>
        <v>124</v>
      </c>
      <c r="D128" s="89" t="s">
        <v>294</v>
      </c>
      <c r="E128" s="89" t="s">
        <v>295</v>
      </c>
      <c r="F128" s="167" t="s">
        <v>508</v>
      </c>
      <c r="G128" s="170" t="s">
        <v>41</v>
      </c>
      <c r="H128" s="76">
        <v>8000</v>
      </c>
      <c r="I128" s="170">
        <v>40000</v>
      </c>
      <c r="J128" s="170"/>
      <c r="K128" s="77">
        <f t="shared" si="16"/>
        <v>48000</v>
      </c>
      <c r="L128" s="76">
        <v>8000</v>
      </c>
      <c r="M128" s="78" t="s">
        <v>731</v>
      </c>
      <c r="N128" s="78"/>
      <c r="O128" s="78"/>
      <c r="P128" s="76"/>
      <c r="Q128" s="76"/>
      <c r="R128" s="76"/>
      <c r="S128" s="76"/>
      <c r="T128" s="76">
        <v>10000</v>
      </c>
      <c r="U128" s="76">
        <v>930</v>
      </c>
      <c r="V128" s="76"/>
      <c r="W128" s="76"/>
      <c r="X128" s="76">
        <v>20000</v>
      </c>
      <c r="Y128" s="76" t="s">
        <v>1073</v>
      </c>
      <c r="Z128" s="76"/>
      <c r="AA128" s="78"/>
      <c r="AB128" s="76"/>
      <c r="AC128" s="76"/>
      <c r="AD128" s="76">
        <f t="shared" si="18"/>
        <v>38000</v>
      </c>
      <c r="AE128" s="76">
        <f t="shared" si="19"/>
        <v>-10000</v>
      </c>
      <c r="AF128" s="79"/>
      <c r="AG128" s="33"/>
    </row>
    <row r="129" spans="1:35" s="239" customFormat="1" ht="45.75" customHeight="1" x14ac:dyDescent="0.5">
      <c r="A129" s="233">
        <v>125</v>
      </c>
      <c r="B129" s="247" t="s">
        <v>509</v>
      </c>
      <c r="C129" s="254">
        <f t="shared" si="17"/>
        <v>125</v>
      </c>
      <c r="D129" s="253" t="s">
        <v>296</v>
      </c>
      <c r="E129" s="249" t="s">
        <v>297</v>
      </c>
      <c r="F129" s="167">
        <v>3064844452</v>
      </c>
      <c r="G129" s="170" t="s">
        <v>141</v>
      </c>
      <c r="H129" s="76">
        <v>8000</v>
      </c>
      <c r="I129" s="170">
        <v>22000</v>
      </c>
      <c r="J129" s="170">
        <v>50000</v>
      </c>
      <c r="K129" s="250">
        <f t="shared" si="16"/>
        <v>80000</v>
      </c>
      <c r="L129" s="247">
        <v>8000</v>
      </c>
      <c r="M129" s="78" t="s">
        <v>608</v>
      </c>
      <c r="N129" s="78"/>
      <c r="O129" s="78"/>
      <c r="P129" s="247">
        <v>12000</v>
      </c>
      <c r="Q129" s="76" t="s">
        <v>778</v>
      </c>
      <c r="R129" s="76">
        <v>20000</v>
      </c>
      <c r="S129" s="76"/>
      <c r="T129" s="247"/>
      <c r="U129" s="76"/>
      <c r="V129" s="76"/>
      <c r="W129" s="76"/>
      <c r="X129" s="247"/>
      <c r="Y129" s="76"/>
      <c r="Z129" s="76"/>
      <c r="AA129" s="78"/>
      <c r="AB129" s="76"/>
      <c r="AC129" s="247"/>
      <c r="AD129" s="247">
        <f t="shared" si="18"/>
        <v>40000</v>
      </c>
      <c r="AE129" s="247">
        <f t="shared" si="19"/>
        <v>-40000</v>
      </c>
      <c r="AF129" s="251"/>
      <c r="AG129" s="238"/>
    </row>
    <row r="130" spans="1:35" s="364" customFormat="1" ht="45.75" customHeight="1" x14ac:dyDescent="0.55000000000000004">
      <c r="A130" s="341">
        <v>126</v>
      </c>
      <c r="B130" s="377" t="s">
        <v>512</v>
      </c>
      <c r="C130" s="378">
        <v>501</v>
      </c>
      <c r="D130" s="379" t="s">
        <v>283</v>
      </c>
      <c r="E130" s="379" t="s">
        <v>69</v>
      </c>
      <c r="F130" s="160">
        <v>3026344476</v>
      </c>
      <c r="G130" s="159" t="s">
        <v>298</v>
      </c>
      <c r="H130" s="66">
        <v>8000</v>
      </c>
      <c r="I130" s="172">
        <v>14000</v>
      </c>
      <c r="J130" s="387">
        <v>0</v>
      </c>
      <c r="K130" s="388">
        <f t="shared" ref="K130:K153" si="22">I130+J130+H130</f>
        <v>22000</v>
      </c>
      <c r="L130" s="377">
        <v>8000</v>
      </c>
      <c r="M130" s="67" t="s">
        <v>724</v>
      </c>
      <c r="N130" s="67"/>
      <c r="O130" s="67"/>
      <c r="P130" s="377"/>
      <c r="Q130" s="66"/>
      <c r="R130" s="66"/>
      <c r="S130" s="66"/>
      <c r="T130" s="377">
        <v>4000</v>
      </c>
      <c r="U130" s="66" t="s">
        <v>944</v>
      </c>
      <c r="V130" s="66"/>
      <c r="W130" s="66"/>
      <c r="X130" s="377">
        <v>4000</v>
      </c>
      <c r="Y130" s="66" t="s">
        <v>1185</v>
      </c>
      <c r="Z130" s="66"/>
      <c r="AA130" s="67"/>
      <c r="AB130" s="66"/>
      <c r="AC130" s="377"/>
      <c r="AD130" s="377">
        <f t="shared" ref="AD130:AD194" si="23">L130+P130+T130+X130+AB130+N130+R130+V130+Z130</f>
        <v>16000</v>
      </c>
      <c r="AE130" s="377">
        <f t="shared" ref="AE130:AE194" si="24">AD130-K130</f>
        <v>-6000</v>
      </c>
      <c r="AF130" s="391"/>
      <c r="AG130" s="363"/>
      <c r="AI130" s="363"/>
    </row>
    <row r="131" spans="1:35" s="364" customFormat="1" ht="45.75" customHeight="1" x14ac:dyDescent="0.55000000000000004">
      <c r="A131" s="341">
        <v>127</v>
      </c>
      <c r="B131" s="377" t="s">
        <v>512</v>
      </c>
      <c r="C131" s="378">
        <f>C130+1</f>
        <v>502</v>
      </c>
      <c r="D131" s="380" t="s">
        <v>299</v>
      </c>
      <c r="E131" s="381" t="s">
        <v>300</v>
      </c>
      <c r="F131" s="160">
        <v>3066744531</v>
      </c>
      <c r="G131" s="159" t="s">
        <v>21</v>
      </c>
      <c r="H131" s="66">
        <v>8000</v>
      </c>
      <c r="I131" s="159">
        <v>18000</v>
      </c>
      <c r="J131" s="387"/>
      <c r="K131" s="388">
        <f t="shared" si="22"/>
        <v>26000</v>
      </c>
      <c r="L131" s="377">
        <v>8000</v>
      </c>
      <c r="M131" s="67" t="s">
        <v>682</v>
      </c>
      <c r="N131" s="67"/>
      <c r="O131" s="67"/>
      <c r="P131" s="377"/>
      <c r="Q131" s="66"/>
      <c r="R131" s="66"/>
      <c r="S131" s="66"/>
      <c r="T131" s="377">
        <v>6000</v>
      </c>
      <c r="U131" s="66" t="s">
        <v>1182</v>
      </c>
      <c r="V131" s="66"/>
      <c r="W131" s="66"/>
      <c r="X131" s="377"/>
      <c r="Y131" s="66"/>
      <c r="Z131" s="66"/>
      <c r="AA131" s="67"/>
      <c r="AB131" s="66"/>
      <c r="AC131" s="377"/>
      <c r="AD131" s="377">
        <f t="shared" si="23"/>
        <v>14000</v>
      </c>
      <c r="AE131" s="377">
        <f t="shared" si="24"/>
        <v>-12000</v>
      </c>
      <c r="AF131" s="391"/>
      <c r="AG131" s="363"/>
      <c r="AI131" s="363"/>
    </row>
    <row r="132" spans="1:35" s="364" customFormat="1" ht="45.75" customHeight="1" x14ac:dyDescent="0.55000000000000004">
      <c r="A132" s="341">
        <v>128</v>
      </c>
      <c r="B132" s="377" t="s">
        <v>512</v>
      </c>
      <c r="C132" s="378">
        <f t="shared" ref="C132:C147" si="25">C131+1</f>
        <v>503</v>
      </c>
      <c r="D132" s="379" t="s">
        <v>301</v>
      </c>
      <c r="E132" s="381" t="s">
        <v>110</v>
      </c>
      <c r="F132" s="160">
        <v>3260064442</v>
      </c>
      <c r="G132" s="159" t="s">
        <v>30</v>
      </c>
      <c r="H132" s="66">
        <v>8000</v>
      </c>
      <c r="I132" s="159">
        <v>25000</v>
      </c>
      <c r="J132" s="387"/>
      <c r="K132" s="388">
        <f t="shared" si="22"/>
        <v>33000</v>
      </c>
      <c r="L132" s="377">
        <v>8000</v>
      </c>
      <c r="M132" s="67" t="s">
        <v>674</v>
      </c>
      <c r="N132" s="67"/>
      <c r="O132" s="67"/>
      <c r="P132" s="377">
        <v>8000</v>
      </c>
      <c r="Q132" s="66" t="s">
        <v>823</v>
      </c>
      <c r="R132" s="66"/>
      <c r="S132" s="66"/>
      <c r="T132" s="377">
        <v>6000</v>
      </c>
      <c r="U132" s="66" t="s">
        <v>949</v>
      </c>
      <c r="V132" s="66"/>
      <c r="W132" s="66"/>
      <c r="X132" s="377">
        <v>6000</v>
      </c>
      <c r="Y132" s="66" t="s">
        <v>1125</v>
      </c>
      <c r="Z132" s="66"/>
      <c r="AA132" s="67"/>
      <c r="AB132" s="66"/>
      <c r="AC132" s="377"/>
      <c r="AD132" s="377">
        <f t="shared" si="23"/>
        <v>28000</v>
      </c>
      <c r="AE132" s="377">
        <f t="shared" si="24"/>
        <v>-5000</v>
      </c>
      <c r="AF132" s="391"/>
      <c r="AG132" s="363"/>
    </row>
    <row r="133" spans="1:35" s="364" customFormat="1" ht="45.75" customHeight="1" x14ac:dyDescent="0.55000000000000004">
      <c r="A133" s="341">
        <v>129</v>
      </c>
      <c r="B133" s="377" t="s">
        <v>512</v>
      </c>
      <c r="C133" s="382">
        <f t="shared" si="25"/>
        <v>504</v>
      </c>
      <c r="D133" s="380" t="s">
        <v>302</v>
      </c>
      <c r="E133" s="380" t="s">
        <v>303</v>
      </c>
      <c r="F133" s="160">
        <v>3104401283</v>
      </c>
      <c r="G133" s="159" t="s">
        <v>250</v>
      </c>
      <c r="H133" s="66">
        <v>8000</v>
      </c>
      <c r="I133" s="174"/>
      <c r="J133" s="387"/>
      <c r="K133" s="388">
        <f t="shared" si="22"/>
        <v>8000</v>
      </c>
      <c r="L133" s="377"/>
      <c r="M133" s="67"/>
      <c r="N133" s="67"/>
      <c r="O133" s="67"/>
      <c r="P133" s="377"/>
      <c r="Q133" s="66"/>
      <c r="R133" s="66"/>
      <c r="S133" s="66"/>
      <c r="T133" s="377"/>
      <c r="U133" s="66"/>
      <c r="V133" s="66"/>
      <c r="W133" s="66"/>
      <c r="X133" s="377"/>
      <c r="Y133" s="66"/>
      <c r="Z133" s="66"/>
      <c r="AA133" s="67"/>
      <c r="AB133" s="66"/>
      <c r="AC133" s="377"/>
      <c r="AD133" s="377">
        <f t="shared" si="23"/>
        <v>0</v>
      </c>
      <c r="AE133" s="377">
        <f t="shared" si="24"/>
        <v>-8000</v>
      </c>
      <c r="AF133" s="391"/>
      <c r="AG133" s="363"/>
      <c r="AI133" s="363"/>
    </row>
    <row r="134" spans="1:35" s="364" customFormat="1" ht="45.75" customHeight="1" x14ac:dyDescent="0.55000000000000004">
      <c r="A134" s="341">
        <v>130</v>
      </c>
      <c r="B134" s="377" t="s">
        <v>512</v>
      </c>
      <c r="C134" s="378">
        <f t="shared" si="25"/>
        <v>505</v>
      </c>
      <c r="D134" s="381" t="s">
        <v>304</v>
      </c>
      <c r="E134" s="381" t="s">
        <v>85</v>
      </c>
      <c r="F134" s="175">
        <v>3154850484</v>
      </c>
      <c r="G134" s="173" t="s">
        <v>36</v>
      </c>
      <c r="H134" s="66">
        <v>8000</v>
      </c>
      <c r="I134" s="159">
        <v>17000</v>
      </c>
      <c r="J134" s="387">
        <v>50000</v>
      </c>
      <c r="K134" s="388">
        <f t="shared" si="22"/>
        <v>75000</v>
      </c>
      <c r="L134" s="377">
        <v>8000</v>
      </c>
      <c r="M134" s="67" t="s">
        <v>586</v>
      </c>
      <c r="N134" s="67"/>
      <c r="O134" s="67"/>
      <c r="P134" s="377">
        <v>10000</v>
      </c>
      <c r="Q134" s="66" t="s">
        <v>866</v>
      </c>
      <c r="R134" s="66"/>
      <c r="S134" s="66"/>
      <c r="T134" s="377">
        <v>3000</v>
      </c>
      <c r="U134" s="66" t="s">
        <v>972</v>
      </c>
      <c r="V134" s="66"/>
      <c r="W134" s="66"/>
      <c r="X134" s="377"/>
      <c r="Y134" s="66"/>
      <c r="Z134" s="66"/>
      <c r="AA134" s="67"/>
      <c r="AB134" s="66"/>
      <c r="AC134" s="377"/>
      <c r="AD134" s="377">
        <f t="shared" si="23"/>
        <v>21000</v>
      </c>
      <c r="AE134" s="377">
        <f t="shared" si="24"/>
        <v>-54000</v>
      </c>
      <c r="AF134" s="391"/>
      <c r="AG134" s="363"/>
      <c r="AI134" s="363"/>
    </row>
    <row r="135" spans="1:35" s="364" customFormat="1" ht="45.75" customHeight="1" x14ac:dyDescent="0.55000000000000004">
      <c r="A135" s="341">
        <v>131</v>
      </c>
      <c r="B135" s="377" t="s">
        <v>512</v>
      </c>
      <c r="C135" s="378">
        <f t="shared" si="25"/>
        <v>506</v>
      </c>
      <c r="D135" s="379" t="s">
        <v>305</v>
      </c>
      <c r="E135" s="381" t="s">
        <v>306</v>
      </c>
      <c r="F135" s="160">
        <v>3446164463</v>
      </c>
      <c r="G135" s="159" t="s">
        <v>40</v>
      </c>
      <c r="H135" s="66">
        <v>8000</v>
      </c>
      <c r="I135" s="159">
        <v>25000</v>
      </c>
      <c r="J135" s="387"/>
      <c r="K135" s="388">
        <f t="shared" si="22"/>
        <v>33000</v>
      </c>
      <c r="L135" s="377">
        <v>8000</v>
      </c>
      <c r="M135" s="67" t="s">
        <v>677</v>
      </c>
      <c r="N135" s="67"/>
      <c r="O135" s="67"/>
      <c r="P135" s="377">
        <v>9000</v>
      </c>
      <c r="Q135" s="66" t="s">
        <v>834</v>
      </c>
      <c r="R135" s="66"/>
      <c r="S135" s="66"/>
      <c r="T135" s="377">
        <v>5500</v>
      </c>
      <c r="U135" s="66" t="s">
        <v>971</v>
      </c>
      <c r="V135" s="66"/>
      <c r="W135" s="66"/>
      <c r="X135" s="377"/>
      <c r="Y135" s="66"/>
      <c r="Z135" s="66"/>
      <c r="AA135" s="67"/>
      <c r="AB135" s="66"/>
      <c r="AC135" s="377"/>
      <c r="AD135" s="377">
        <f t="shared" si="23"/>
        <v>22500</v>
      </c>
      <c r="AE135" s="377">
        <f t="shared" si="24"/>
        <v>-10500</v>
      </c>
      <c r="AF135" s="391"/>
      <c r="AG135" s="363"/>
    </row>
    <row r="136" spans="1:35" s="364" customFormat="1" ht="45.75" customHeight="1" x14ac:dyDescent="0.55000000000000004">
      <c r="A136" s="341">
        <v>132</v>
      </c>
      <c r="B136" s="377" t="s">
        <v>512</v>
      </c>
      <c r="C136" s="378">
        <f t="shared" si="25"/>
        <v>507</v>
      </c>
      <c r="D136" s="383" t="s">
        <v>330</v>
      </c>
      <c r="E136" s="383" t="s">
        <v>331</v>
      </c>
      <c r="F136" s="160">
        <v>3271274533</v>
      </c>
      <c r="G136" s="173" t="s">
        <v>139</v>
      </c>
      <c r="H136" s="66">
        <v>8000</v>
      </c>
      <c r="I136" s="173">
        <v>40000</v>
      </c>
      <c r="J136" s="387"/>
      <c r="K136" s="388">
        <f t="shared" si="22"/>
        <v>48000</v>
      </c>
      <c r="L136" s="377">
        <v>8000</v>
      </c>
      <c r="M136" s="67" t="s">
        <v>656</v>
      </c>
      <c r="N136" s="67"/>
      <c r="O136" s="67"/>
      <c r="P136" s="377">
        <v>10000</v>
      </c>
      <c r="Q136" s="66" t="s">
        <v>917</v>
      </c>
      <c r="R136" s="66"/>
      <c r="S136" s="66"/>
      <c r="T136" s="377">
        <v>10000</v>
      </c>
      <c r="U136" s="66" t="s">
        <v>935</v>
      </c>
      <c r="V136" s="66"/>
      <c r="W136" s="66"/>
      <c r="X136" s="377">
        <v>10000</v>
      </c>
      <c r="Y136" s="66" t="s">
        <v>1127</v>
      </c>
      <c r="Z136" s="66"/>
      <c r="AA136" s="67"/>
      <c r="AB136" s="66"/>
      <c r="AC136" s="377"/>
      <c r="AD136" s="377">
        <f t="shared" si="23"/>
        <v>38000</v>
      </c>
      <c r="AE136" s="377">
        <f t="shared" si="24"/>
        <v>-10000</v>
      </c>
      <c r="AF136" s="391"/>
      <c r="AG136" s="363"/>
      <c r="AH136" s="363"/>
    </row>
    <row r="137" spans="1:35" s="364" customFormat="1" ht="45.75" customHeight="1" x14ac:dyDescent="0.55000000000000004">
      <c r="A137" s="341">
        <v>133</v>
      </c>
      <c r="B137" s="377" t="s">
        <v>512</v>
      </c>
      <c r="C137" s="378">
        <f t="shared" si="25"/>
        <v>508</v>
      </c>
      <c r="D137" s="380" t="s">
        <v>307</v>
      </c>
      <c r="E137" s="380" t="s">
        <v>308</v>
      </c>
      <c r="F137" s="160">
        <v>3024711632</v>
      </c>
      <c r="G137" s="159" t="s">
        <v>309</v>
      </c>
      <c r="H137" s="66">
        <v>8000</v>
      </c>
      <c r="I137" s="173">
        <v>27000</v>
      </c>
      <c r="J137" s="387"/>
      <c r="K137" s="388">
        <f t="shared" si="22"/>
        <v>35000</v>
      </c>
      <c r="L137" s="377">
        <v>16000</v>
      </c>
      <c r="M137" s="67" t="s">
        <v>725</v>
      </c>
      <c r="N137" s="67"/>
      <c r="O137" s="67"/>
      <c r="P137" s="377"/>
      <c r="Q137" s="66"/>
      <c r="R137" s="66"/>
      <c r="S137" s="66"/>
      <c r="T137" s="377">
        <v>6500</v>
      </c>
      <c r="U137" s="66" t="s">
        <v>956</v>
      </c>
      <c r="V137" s="66"/>
      <c r="W137" s="66"/>
      <c r="X137" s="377">
        <v>6500</v>
      </c>
      <c r="Y137" s="66" t="s">
        <v>1112</v>
      </c>
      <c r="Z137" s="66"/>
      <c r="AA137" s="67"/>
      <c r="AB137" s="66"/>
      <c r="AC137" s="377"/>
      <c r="AD137" s="377">
        <f t="shared" si="23"/>
        <v>29000</v>
      </c>
      <c r="AE137" s="377">
        <f t="shared" si="24"/>
        <v>-6000</v>
      </c>
      <c r="AF137" s="391"/>
      <c r="AG137" s="363"/>
      <c r="AI137" s="363"/>
    </row>
    <row r="138" spans="1:35" s="364" customFormat="1" ht="45.75" customHeight="1" x14ac:dyDescent="0.55000000000000004">
      <c r="A138" s="341">
        <v>134</v>
      </c>
      <c r="B138" s="349" t="s">
        <v>512</v>
      </c>
      <c r="C138" s="350">
        <f t="shared" si="25"/>
        <v>509</v>
      </c>
      <c r="D138" s="351" t="s">
        <v>310</v>
      </c>
      <c r="E138" s="352" t="s">
        <v>311</v>
      </c>
      <c r="F138" s="160">
        <v>3057456506</v>
      </c>
      <c r="G138" s="159" t="s">
        <v>32</v>
      </c>
      <c r="H138" s="108">
        <v>8000</v>
      </c>
      <c r="I138" s="169">
        <v>32000</v>
      </c>
      <c r="J138" s="389"/>
      <c r="K138" s="360">
        <f t="shared" si="22"/>
        <v>40000</v>
      </c>
      <c r="L138" s="349">
        <v>8000</v>
      </c>
      <c r="M138" s="67" t="s">
        <v>609</v>
      </c>
      <c r="N138" s="67"/>
      <c r="O138" s="67"/>
      <c r="P138" s="349">
        <v>8000</v>
      </c>
      <c r="Q138" s="66" t="s">
        <v>885</v>
      </c>
      <c r="R138" s="66"/>
      <c r="S138" s="66"/>
      <c r="T138" s="349">
        <v>8000</v>
      </c>
      <c r="U138" s="66" t="s">
        <v>970</v>
      </c>
      <c r="V138" s="66"/>
      <c r="W138" s="66"/>
      <c r="X138" s="349">
        <v>16000</v>
      </c>
      <c r="Y138" s="108" t="s">
        <v>1140</v>
      </c>
      <c r="Z138" s="66"/>
      <c r="AA138" s="67"/>
      <c r="AB138" s="66"/>
      <c r="AC138" s="349"/>
      <c r="AD138" s="349">
        <f t="shared" si="23"/>
        <v>40000</v>
      </c>
      <c r="AE138" s="349">
        <f t="shared" si="24"/>
        <v>0</v>
      </c>
      <c r="AF138" s="365"/>
      <c r="AG138" s="363"/>
      <c r="AI138" s="363"/>
    </row>
    <row r="139" spans="1:35" s="364" customFormat="1" ht="45.75" customHeight="1" x14ac:dyDescent="0.55000000000000004">
      <c r="A139" s="341">
        <v>135</v>
      </c>
      <c r="B139" s="349" t="s">
        <v>512</v>
      </c>
      <c r="C139" s="350">
        <f t="shared" si="25"/>
        <v>510</v>
      </c>
      <c r="D139" s="384" t="s">
        <v>312</v>
      </c>
      <c r="E139" s="384" t="s">
        <v>313</v>
      </c>
      <c r="F139" s="176">
        <v>3046788911</v>
      </c>
      <c r="G139" s="177" t="s">
        <v>314</v>
      </c>
      <c r="H139" s="108">
        <v>8000</v>
      </c>
      <c r="I139" s="169">
        <v>32000</v>
      </c>
      <c r="J139" s="389"/>
      <c r="K139" s="360">
        <f t="shared" si="22"/>
        <v>40000</v>
      </c>
      <c r="L139" s="349">
        <v>8000</v>
      </c>
      <c r="M139" s="67" t="s">
        <v>543</v>
      </c>
      <c r="N139" s="67"/>
      <c r="O139" s="67"/>
      <c r="P139" s="349"/>
      <c r="Q139" s="66"/>
      <c r="R139" s="66"/>
      <c r="S139" s="66"/>
      <c r="T139" s="349">
        <v>17000</v>
      </c>
      <c r="U139" s="66" t="s">
        <v>989</v>
      </c>
      <c r="V139" s="66"/>
      <c r="W139" s="66"/>
      <c r="X139" s="349">
        <v>15000</v>
      </c>
      <c r="Y139" s="108" t="s">
        <v>1114</v>
      </c>
      <c r="Z139" s="66"/>
      <c r="AA139" s="67"/>
      <c r="AB139" s="66"/>
      <c r="AC139" s="349"/>
      <c r="AD139" s="349">
        <f t="shared" si="23"/>
        <v>40000</v>
      </c>
      <c r="AE139" s="349">
        <f t="shared" si="24"/>
        <v>0</v>
      </c>
      <c r="AF139" s="365"/>
      <c r="AG139" s="363"/>
      <c r="AI139" s="363"/>
    </row>
    <row r="140" spans="1:35" s="364" customFormat="1" ht="45.75" customHeight="1" x14ac:dyDescent="0.55000000000000004">
      <c r="A140" s="341">
        <v>136</v>
      </c>
      <c r="B140" s="377" t="s">
        <v>512</v>
      </c>
      <c r="C140" s="378">
        <f t="shared" si="25"/>
        <v>511</v>
      </c>
      <c r="D140" s="380" t="s">
        <v>315</v>
      </c>
      <c r="E140" s="380" t="s">
        <v>316</v>
      </c>
      <c r="F140" s="160">
        <v>3467463530</v>
      </c>
      <c r="G140" s="159" t="s">
        <v>317</v>
      </c>
      <c r="H140" s="66">
        <v>8000</v>
      </c>
      <c r="I140" s="173">
        <v>22000</v>
      </c>
      <c r="J140" s="387">
        <v>50000</v>
      </c>
      <c r="K140" s="388">
        <f t="shared" si="22"/>
        <v>80000</v>
      </c>
      <c r="L140" s="377">
        <v>8000</v>
      </c>
      <c r="M140" s="67" t="s">
        <v>739</v>
      </c>
      <c r="N140" s="67"/>
      <c r="O140" s="67"/>
      <c r="P140" s="377">
        <v>10000</v>
      </c>
      <c r="Q140" s="66" t="s">
        <v>878</v>
      </c>
      <c r="R140" s="66"/>
      <c r="S140" s="66"/>
      <c r="T140" s="377">
        <v>10000</v>
      </c>
      <c r="U140" s="66">
        <v>921</v>
      </c>
      <c r="V140" s="66"/>
      <c r="W140" s="66"/>
      <c r="X140" s="377"/>
      <c r="Y140" s="66"/>
      <c r="Z140" s="66"/>
      <c r="AA140" s="67"/>
      <c r="AB140" s="66"/>
      <c r="AC140" s="377"/>
      <c r="AD140" s="377">
        <f t="shared" si="23"/>
        <v>28000</v>
      </c>
      <c r="AE140" s="377">
        <f t="shared" si="24"/>
        <v>-52000</v>
      </c>
      <c r="AF140" s="391"/>
      <c r="AG140" s="363"/>
      <c r="AI140" s="363"/>
    </row>
    <row r="141" spans="1:35" s="364" customFormat="1" ht="45.75" customHeight="1" x14ac:dyDescent="0.55000000000000004">
      <c r="A141" s="341">
        <v>137</v>
      </c>
      <c r="B141" s="377" t="s">
        <v>512</v>
      </c>
      <c r="C141" s="378">
        <f t="shared" si="25"/>
        <v>512</v>
      </c>
      <c r="D141" s="380" t="s">
        <v>318</v>
      </c>
      <c r="E141" s="380" t="s">
        <v>319</v>
      </c>
      <c r="F141" s="160">
        <v>3492278139</v>
      </c>
      <c r="G141" s="178" t="s">
        <v>41</v>
      </c>
      <c r="H141" s="66">
        <v>8000</v>
      </c>
      <c r="I141" s="173">
        <v>27000</v>
      </c>
      <c r="J141" s="387"/>
      <c r="K141" s="388">
        <f t="shared" si="22"/>
        <v>35000</v>
      </c>
      <c r="L141" s="377">
        <v>8000</v>
      </c>
      <c r="M141" s="67" t="s">
        <v>735</v>
      </c>
      <c r="N141" s="67"/>
      <c r="O141" s="67"/>
      <c r="P141" s="377"/>
      <c r="Q141" s="66"/>
      <c r="R141" s="66"/>
      <c r="S141" s="66"/>
      <c r="T141" s="377">
        <v>13500</v>
      </c>
      <c r="U141" s="66">
        <v>934</v>
      </c>
      <c r="V141" s="66"/>
      <c r="W141" s="66"/>
      <c r="X141" s="377">
        <v>6750</v>
      </c>
      <c r="Y141" s="66" t="s">
        <v>1082</v>
      </c>
      <c r="Z141" s="66"/>
      <c r="AA141" s="67"/>
      <c r="AB141" s="66"/>
      <c r="AC141" s="377"/>
      <c r="AD141" s="377">
        <f t="shared" si="23"/>
        <v>28250</v>
      </c>
      <c r="AE141" s="377">
        <f t="shared" si="24"/>
        <v>-6750</v>
      </c>
      <c r="AF141" s="391"/>
      <c r="AG141" s="363"/>
      <c r="AI141" s="363"/>
    </row>
    <row r="142" spans="1:35" s="364" customFormat="1" ht="45.75" customHeight="1" x14ac:dyDescent="0.55000000000000004">
      <c r="A142" s="341">
        <v>138</v>
      </c>
      <c r="B142" s="377" t="s">
        <v>512</v>
      </c>
      <c r="C142" s="378">
        <f t="shared" si="25"/>
        <v>513</v>
      </c>
      <c r="D142" s="381" t="s">
        <v>320</v>
      </c>
      <c r="E142" s="381" t="s">
        <v>321</v>
      </c>
      <c r="F142" s="160">
        <v>3421752573</v>
      </c>
      <c r="G142" s="159" t="s">
        <v>322</v>
      </c>
      <c r="H142" s="66">
        <v>8000</v>
      </c>
      <c r="I142" s="179">
        <v>22000</v>
      </c>
      <c r="J142" s="387">
        <v>50000</v>
      </c>
      <c r="K142" s="388">
        <f t="shared" si="22"/>
        <v>80000</v>
      </c>
      <c r="L142" s="377">
        <v>8000</v>
      </c>
      <c r="M142" s="67" t="s">
        <v>639</v>
      </c>
      <c r="N142" s="67"/>
      <c r="O142" s="67"/>
      <c r="P142" s="377">
        <v>7000</v>
      </c>
      <c r="Q142" s="66" t="s">
        <v>784</v>
      </c>
      <c r="R142" s="66"/>
      <c r="S142" s="66"/>
      <c r="T142" s="377">
        <v>5000</v>
      </c>
      <c r="U142" s="66" t="s">
        <v>1009</v>
      </c>
      <c r="V142" s="66"/>
      <c r="W142" s="66"/>
      <c r="X142" s="377">
        <v>5000</v>
      </c>
      <c r="Y142" s="66" t="s">
        <v>1157</v>
      </c>
      <c r="Z142" s="66"/>
      <c r="AA142" s="67"/>
      <c r="AB142" s="66"/>
      <c r="AC142" s="377"/>
      <c r="AD142" s="377">
        <f t="shared" si="23"/>
        <v>25000</v>
      </c>
      <c r="AE142" s="377">
        <f t="shared" si="24"/>
        <v>-55000</v>
      </c>
      <c r="AF142" s="391"/>
      <c r="AG142" s="363"/>
      <c r="AI142" s="363"/>
    </row>
    <row r="143" spans="1:35" s="364" customFormat="1" ht="45.75" customHeight="1" x14ac:dyDescent="0.55000000000000004">
      <c r="A143" s="341">
        <v>139</v>
      </c>
      <c r="B143" s="377" t="s">
        <v>512</v>
      </c>
      <c r="C143" s="378">
        <f t="shared" si="25"/>
        <v>514</v>
      </c>
      <c r="D143" s="380" t="s">
        <v>323</v>
      </c>
      <c r="E143" s="381" t="s">
        <v>324</v>
      </c>
      <c r="F143" s="160">
        <v>3057275466</v>
      </c>
      <c r="G143" s="159" t="s">
        <v>21</v>
      </c>
      <c r="H143" s="66">
        <v>8000</v>
      </c>
      <c r="I143" s="173">
        <v>37200</v>
      </c>
      <c r="J143" s="387"/>
      <c r="K143" s="388">
        <f t="shared" si="22"/>
        <v>45200</v>
      </c>
      <c r="L143" s="377">
        <v>8000</v>
      </c>
      <c r="M143" s="67" t="s">
        <v>643</v>
      </c>
      <c r="N143" s="67"/>
      <c r="O143" s="67"/>
      <c r="P143" s="377">
        <v>12400</v>
      </c>
      <c r="Q143" s="66" t="s">
        <v>786</v>
      </c>
      <c r="R143" s="66"/>
      <c r="S143" s="66"/>
      <c r="T143" s="377">
        <v>12400</v>
      </c>
      <c r="U143" s="66" t="s">
        <v>960</v>
      </c>
      <c r="V143" s="66"/>
      <c r="W143" s="66"/>
      <c r="X143" s="377"/>
      <c r="Y143" s="66"/>
      <c r="Z143" s="66"/>
      <c r="AA143" s="67"/>
      <c r="AB143" s="66"/>
      <c r="AC143" s="377"/>
      <c r="AD143" s="377">
        <f t="shared" si="23"/>
        <v>32800</v>
      </c>
      <c r="AE143" s="377">
        <f t="shared" si="24"/>
        <v>-12400</v>
      </c>
      <c r="AF143" s="391"/>
      <c r="AG143" s="363"/>
      <c r="AI143" s="363"/>
    </row>
    <row r="144" spans="1:35" s="364" customFormat="1" ht="45.75" customHeight="1" x14ac:dyDescent="0.55000000000000004">
      <c r="A144" s="341">
        <v>140</v>
      </c>
      <c r="B144" s="377" t="s">
        <v>512</v>
      </c>
      <c r="C144" s="378">
        <f t="shared" si="25"/>
        <v>515</v>
      </c>
      <c r="D144" s="383" t="s">
        <v>325</v>
      </c>
      <c r="E144" s="383" t="s">
        <v>95</v>
      </c>
      <c r="F144" s="160">
        <v>3367790142</v>
      </c>
      <c r="G144" s="159" t="s">
        <v>30</v>
      </c>
      <c r="H144" s="66">
        <v>8000</v>
      </c>
      <c r="I144" s="173">
        <v>32000</v>
      </c>
      <c r="J144" s="387"/>
      <c r="K144" s="388">
        <f t="shared" si="22"/>
        <v>40000</v>
      </c>
      <c r="L144" s="377">
        <v>8000</v>
      </c>
      <c r="M144" s="67" t="s">
        <v>679</v>
      </c>
      <c r="N144" s="67"/>
      <c r="O144" s="67"/>
      <c r="P144" s="377">
        <v>8000</v>
      </c>
      <c r="Q144" s="66" t="s">
        <v>822</v>
      </c>
      <c r="R144" s="66"/>
      <c r="S144" s="66"/>
      <c r="T144" s="377">
        <v>8000</v>
      </c>
      <c r="U144" s="66" t="s">
        <v>938</v>
      </c>
      <c r="V144" s="66"/>
      <c r="W144" s="66"/>
      <c r="X144" s="377">
        <v>8000</v>
      </c>
      <c r="Y144" s="66" t="s">
        <v>1068</v>
      </c>
      <c r="Z144" s="66"/>
      <c r="AA144" s="67"/>
      <c r="AB144" s="66"/>
      <c r="AC144" s="377"/>
      <c r="AD144" s="377">
        <f t="shared" si="23"/>
        <v>32000</v>
      </c>
      <c r="AE144" s="377">
        <f t="shared" si="24"/>
        <v>-8000</v>
      </c>
      <c r="AF144" s="391"/>
      <c r="AG144" s="363"/>
      <c r="AI144" s="363"/>
    </row>
    <row r="145" spans="1:35" s="364" customFormat="1" ht="45.75" customHeight="1" x14ac:dyDescent="0.55000000000000004">
      <c r="A145" s="341">
        <v>141</v>
      </c>
      <c r="B145" s="377" t="s">
        <v>512</v>
      </c>
      <c r="C145" s="382">
        <f t="shared" si="25"/>
        <v>516</v>
      </c>
      <c r="D145" s="381" t="s">
        <v>326</v>
      </c>
      <c r="E145" s="381" t="s">
        <v>327</v>
      </c>
      <c r="F145" s="175">
        <v>3057565726</v>
      </c>
      <c r="G145" s="173" t="s">
        <v>36</v>
      </c>
      <c r="H145" s="66">
        <v>8000</v>
      </c>
      <c r="I145" s="173">
        <v>17000</v>
      </c>
      <c r="J145" s="387">
        <v>50000</v>
      </c>
      <c r="K145" s="388">
        <f t="shared" si="22"/>
        <v>75000</v>
      </c>
      <c r="L145" s="377">
        <v>8000</v>
      </c>
      <c r="M145" s="67" t="s">
        <v>562</v>
      </c>
      <c r="N145" s="67"/>
      <c r="O145" s="67"/>
      <c r="P145" s="377"/>
      <c r="Q145" s="66"/>
      <c r="R145" s="66"/>
      <c r="S145" s="66"/>
      <c r="T145" s="377"/>
      <c r="U145" s="66"/>
      <c r="V145" s="66"/>
      <c r="W145" s="66"/>
      <c r="X145" s="377"/>
      <c r="Y145" s="66"/>
      <c r="Z145" s="66"/>
      <c r="AA145" s="67"/>
      <c r="AB145" s="66"/>
      <c r="AC145" s="377"/>
      <c r="AD145" s="377">
        <f t="shared" si="23"/>
        <v>8000</v>
      </c>
      <c r="AE145" s="377">
        <f t="shared" si="24"/>
        <v>-67000</v>
      </c>
      <c r="AF145" s="391"/>
      <c r="AG145" s="363"/>
      <c r="AI145" s="363"/>
    </row>
    <row r="146" spans="1:35" s="364" customFormat="1" ht="45.75" customHeight="1" x14ac:dyDescent="0.55000000000000004">
      <c r="A146" s="341">
        <v>142</v>
      </c>
      <c r="B146" s="377" t="s">
        <v>512</v>
      </c>
      <c r="C146" s="378">
        <f t="shared" si="25"/>
        <v>517</v>
      </c>
      <c r="D146" s="383" t="s">
        <v>328</v>
      </c>
      <c r="E146" s="383" t="s">
        <v>329</v>
      </c>
      <c r="F146" s="160">
        <v>3036379198</v>
      </c>
      <c r="G146" s="159" t="s">
        <v>30</v>
      </c>
      <c r="H146" s="66">
        <v>8000</v>
      </c>
      <c r="I146" s="173">
        <v>34000</v>
      </c>
      <c r="J146" s="387"/>
      <c r="K146" s="388">
        <f t="shared" si="22"/>
        <v>42000</v>
      </c>
      <c r="L146" s="377">
        <v>8000</v>
      </c>
      <c r="M146" s="67" t="s">
        <v>661</v>
      </c>
      <c r="N146" s="67"/>
      <c r="O146" s="67"/>
      <c r="P146" s="377"/>
      <c r="Q146" s="66"/>
      <c r="R146" s="66"/>
      <c r="S146" s="66"/>
      <c r="T146" s="377">
        <v>17000</v>
      </c>
      <c r="U146" s="66" t="s">
        <v>947</v>
      </c>
      <c r="V146" s="66"/>
      <c r="W146" s="66"/>
      <c r="X146" s="377"/>
      <c r="Y146" s="66"/>
      <c r="Z146" s="66"/>
      <c r="AA146" s="67"/>
      <c r="AB146" s="66"/>
      <c r="AC146" s="377"/>
      <c r="AD146" s="377">
        <f t="shared" si="23"/>
        <v>25000</v>
      </c>
      <c r="AE146" s="377">
        <f t="shared" si="24"/>
        <v>-17000</v>
      </c>
      <c r="AF146" s="391"/>
      <c r="AG146" s="363"/>
      <c r="AI146" s="363"/>
    </row>
    <row r="147" spans="1:35" s="364" customFormat="1" ht="45.75" customHeight="1" x14ac:dyDescent="0.55000000000000004">
      <c r="A147" s="341">
        <v>143</v>
      </c>
      <c r="B147" s="377" t="s">
        <v>512</v>
      </c>
      <c r="C147" s="382">
        <f t="shared" si="25"/>
        <v>518</v>
      </c>
      <c r="D147" s="380" t="s">
        <v>510</v>
      </c>
      <c r="E147" s="380" t="s">
        <v>511</v>
      </c>
      <c r="F147" s="160">
        <v>3427734397</v>
      </c>
      <c r="G147" s="178">
        <v>717</v>
      </c>
      <c r="H147" s="66">
        <v>8000</v>
      </c>
      <c r="I147" s="66">
        <v>36000</v>
      </c>
      <c r="J147" s="377"/>
      <c r="K147" s="388">
        <f t="shared" si="22"/>
        <v>44000</v>
      </c>
      <c r="L147" s="377"/>
      <c r="M147" s="67"/>
      <c r="N147" s="67"/>
      <c r="O147" s="67"/>
      <c r="P147" s="377"/>
      <c r="Q147" s="66"/>
      <c r="R147" s="66"/>
      <c r="S147" s="66"/>
      <c r="T147" s="377"/>
      <c r="U147" s="66"/>
      <c r="V147" s="66"/>
      <c r="W147" s="66"/>
      <c r="X147" s="377"/>
      <c r="Y147" s="66"/>
      <c r="Z147" s="66"/>
      <c r="AA147" s="67"/>
      <c r="AB147" s="66"/>
      <c r="AC147" s="377"/>
      <c r="AD147" s="377">
        <f t="shared" si="23"/>
        <v>0</v>
      </c>
      <c r="AE147" s="377">
        <f t="shared" si="24"/>
        <v>-44000</v>
      </c>
      <c r="AF147" s="391"/>
      <c r="AG147" s="363"/>
      <c r="AI147" s="363"/>
    </row>
    <row r="148" spans="1:35" s="364" customFormat="1" ht="45.75" customHeight="1" thickBot="1" x14ac:dyDescent="0.6">
      <c r="A148" s="341">
        <v>144</v>
      </c>
      <c r="B148" s="377" t="s">
        <v>512</v>
      </c>
      <c r="C148" s="385">
        <v>519</v>
      </c>
      <c r="D148" s="386" t="s">
        <v>929</v>
      </c>
      <c r="E148" s="386" t="s">
        <v>930</v>
      </c>
      <c r="F148" s="180" t="s">
        <v>931</v>
      </c>
      <c r="G148" s="181" t="s">
        <v>141</v>
      </c>
      <c r="H148" s="66">
        <v>8000</v>
      </c>
      <c r="I148" s="173">
        <v>32000</v>
      </c>
      <c r="J148" s="390"/>
      <c r="K148" s="388">
        <f t="shared" si="22"/>
        <v>40000</v>
      </c>
      <c r="L148" s="377">
        <v>8000</v>
      </c>
      <c r="M148" s="67" t="s">
        <v>932</v>
      </c>
      <c r="N148" s="67"/>
      <c r="O148" s="67"/>
      <c r="P148" s="377">
        <v>2000</v>
      </c>
      <c r="Q148" s="66" t="s">
        <v>933</v>
      </c>
      <c r="R148" s="66"/>
      <c r="S148" s="66"/>
      <c r="T148" s="377">
        <v>6000</v>
      </c>
      <c r="U148" s="66" t="s">
        <v>1166</v>
      </c>
      <c r="V148" s="66"/>
      <c r="W148" s="66"/>
      <c r="X148" s="377">
        <v>3000</v>
      </c>
      <c r="Y148" s="66" t="s">
        <v>1158</v>
      </c>
      <c r="Z148" s="66"/>
      <c r="AA148" s="67"/>
      <c r="AB148" s="66"/>
      <c r="AC148" s="377"/>
      <c r="AD148" s="377">
        <f t="shared" si="23"/>
        <v>19000</v>
      </c>
      <c r="AE148" s="377">
        <f t="shared" si="24"/>
        <v>-21000</v>
      </c>
      <c r="AF148" s="391"/>
      <c r="AG148" s="363"/>
      <c r="AI148" s="363"/>
    </row>
    <row r="149" spans="1:35" s="239" customFormat="1" ht="46.5" customHeight="1" x14ac:dyDescent="0.5">
      <c r="A149" s="233">
        <v>145</v>
      </c>
      <c r="B149" s="263" t="s">
        <v>499</v>
      </c>
      <c r="C149" s="264">
        <v>201</v>
      </c>
      <c r="D149" s="265" t="s">
        <v>332</v>
      </c>
      <c r="E149" s="265" t="s">
        <v>333</v>
      </c>
      <c r="F149" s="183">
        <v>3167352744</v>
      </c>
      <c r="G149" s="182" t="s">
        <v>39</v>
      </c>
      <c r="H149" s="73">
        <v>8000</v>
      </c>
      <c r="I149" s="184">
        <v>7000</v>
      </c>
      <c r="J149" s="185">
        <v>50000</v>
      </c>
      <c r="K149" s="266">
        <f t="shared" si="22"/>
        <v>65000</v>
      </c>
      <c r="L149" s="263">
        <v>8000</v>
      </c>
      <c r="M149" s="74" t="s">
        <v>614</v>
      </c>
      <c r="N149" s="74"/>
      <c r="O149" s="74"/>
      <c r="P149" s="263">
        <v>17000</v>
      </c>
      <c r="Q149" s="73" t="s">
        <v>794</v>
      </c>
      <c r="R149" s="73">
        <f>17000+23000</f>
        <v>40000</v>
      </c>
      <c r="S149" s="73"/>
      <c r="T149" s="263"/>
      <c r="U149" s="73"/>
      <c r="V149" s="73"/>
      <c r="W149" s="73"/>
      <c r="X149" s="263"/>
      <c r="Y149" s="73"/>
      <c r="Z149" s="73"/>
      <c r="AA149" s="74"/>
      <c r="AB149" s="73"/>
      <c r="AC149" s="263"/>
      <c r="AD149" s="263">
        <f t="shared" si="23"/>
        <v>65000</v>
      </c>
      <c r="AE149" s="263">
        <f t="shared" si="24"/>
        <v>0</v>
      </c>
      <c r="AF149" s="267"/>
      <c r="AG149" s="238"/>
      <c r="AI149" s="238"/>
    </row>
    <row r="150" spans="1:35" s="34" customFormat="1" ht="46.5" customHeight="1" x14ac:dyDescent="0.35">
      <c r="A150" s="59">
        <v>146</v>
      </c>
      <c r="B150" s="73" t="s">
        <v>499</v>
      </c>
      <c r="C150" s="187">
        <f t="shared" ref="C150:C188" si="26">C149+1</f>
        <v>202</v>
      </c>
      <c r="D150" s="90" t="s">
        <v>334</v>
      </c>
      <c r="E150" s="90" t="s">
        <v>335</v>
      </c>
      <c r="F150" s="188">
        <v>3075024461</v>
      </c>
      <c r="G150" s="187" t="s">
        <v>38</v>
      </c>
      <c r="H150" s="73">
        <v>8000</v>
      </c>
      <c r="I150" s="189">
        <v>27000</v>
      </c>
      <c r="J150" s="189"/>
      <c r="K150" s="186">
        <f t="shared" si="22"/>
        <v>35000</v>
      </c>
      <c r="L150" s="73">
        <v>8000</v>
      </c>
      <c r="M150" s="74" t="s">
        <v>762</v>
      </c>
      <c r="N150" s="74"/>
      <c r="O150" s="74"/>
      <c r="P150" s="73">
        <v>5000</v>
      </c>
      <c r="Q150" s="73" t="s">
        <v>909</v>
      </c>
      <c r="R150" s="73"/>
      <c r="S150" s="73"/>
      <c r="T150" s="73">
        <v>5000</v>
      </c>
      <c r="U150" s="73" t="s">
        <v>1005</v>
      </c>
      <c r="V150" s="73"/>
      <c r="W150" s="73"/>
      <c r="X150" s="73">
        <v>5000</v>
      </c>
      <c r="Y150" s="73" t="s">
        <v>1124</v>
      </c>
      <c r="Z150" s="73"/>
      <c r="AA150" s="74"/>
      <c r="AB150" s="73"/>
      <c r="AC150" s="73"/>
      <c r="AD150" s="73">
        <f t="shared" si="23"/>
        <v>23000</v>
      </c>
      <c r="AE150" s="73">
        <f t="shared" si="24"/>
        <v>-12000</v>
      </c>
      <c r="AF150" s="75"/>
      <c r="AG150" s="33"/>
      <c r="AI150" s="33"/>
    </row>
    <row r="151" spans="1:35" s="239" customFormat="1" ht="46.5" customHeight="1" x14ac:dyDescent="0.5">
      <c r="A151" s="233">
        <v>147</v>
      </c>
      <c r="B151" s="234" t="s">
        <v>499</v>
      </c>
      <c r="C151" s="244">
        <f t="shared" si="26"/>
        <v>203</v>
      </c>
      <c r="D151" s="236" t="s">
        <v>336</v>
      </c>
      <c r="E151" s="236" t="s">
        <v>161</v>
      </c>
      <c r="F151" s="145">
        <v>3181481541</v>
      </c>
      <c r="G151" s="146" t="s">
        <v>17</v>
      </c>
      <c r="H151" s="108">
        <v>8000</v>
      </c>
      <c r="I151" s="195">
        <v>15000</v>
      </c>
      <c r="J151" s="195"/>
      <c r="K151" s="237">
        <f t="shared" si="22"/>
        <v>23000</v>
      </c>
      <c r="L151" s="234">
        <v>8000</v>
      </c>
      <c r="M151" s="109" t="s">
        <v>648</v>
      </c>
      <c r="N151" s="109"/>
      <c r="O151" s="109"/>
      <c r="P151" s="234">
        <v>5000</v>
      </c>
      <c r="Q151" s="108" t="s">
        <v>897</v>
      </c>
      <c r="R151" s="108"/>
      <c r="S151" s="108"/>
      <c r="T151" s="234">
        <v>10000</v>
      </c>
      <c r="U151" s="108" t="s">
        <v>1181</v>
      </c>
      <c r="V151" s="108"/>
      <c r="W151" s="108"/>
      <c r="X151" s="234"/>
      <c r="Y151" s="108"/>
      <c r="Z151" s="108"/>
      <c r="AA151" s="109"/>
      <c r="AB151" s="108"/>
      <c r="AC151" s="234"/>
      <c r="AD151" s="234">
        <f t="shared" si="23"/>
        <v>23000</v>
      </c>
      <c r="AE151" s="234">
        <f t="shared" si="24"/>
        <v>0</v>
      </c>
      <c r="AF151" s="240"/>
      <c r="AG151" s="238"/>
      <c r="AI151" s="238"/>
    </row>
    <row r="152" spans="1:35" s="239" customFormat="1" ht="46.5" customHeight="1" x14ac:dyDescent="0.5">
      <c r="A152" s="233">
        <v>148</v>
      </c>
      <c r="B152" s="263" t="s">
        <v>499</v>
      </c>
      <c r="C152" s="268">
        <f t="shared" si="26"/>
        <v>204</v>
      </c>
      <c r="D152" s="269" t="s">
        <v>337</v>
      </c>
      <c r="E152" s="269" t="s">
        <v>338</v>
      </c>
      <c r="F152" s="188">
        <v>3004746664</v>
      </c>
      <c r="G152" s="187" t="s">
        <v>36</v>
      </c>
      <c r="H152" s="73">
        <v>8000</v>
      </c>
      <c r="I152" s="187">
        <v>22000</v>
      </c>
      <c r="J152" s="190">
        <v>50000</v>
      </c>
      <c r="K152" s="266">
        <f t="shared" si="22"/>
        <v>80000</v>
      </c>
      <c r="L152" s="263">
        <v>8000</v>
      </c>
      <c r="M152" s="74" t="s">
        <v>551</v>
      </c>
      <c r="N152" s="74"/>
      <c r="O152" s="74"/>
      <c r="P152" s="263">
        <v>8000</v>
      </c>
      <c r="Q152" s="73" t="s">
        <v>819</v>
      </c>
      <c r="R152" s="73">
        <v>28000</v>
      </c>
      <c r="S152" s="73"/>
      <c r="T152" s="263"/>
      <c r="U152" s="73"/>
      <c r="V152" s="73"/>
      <c r="W152" s="73"/>
      <c r="X152" s="263"/>
      <c r="Y152" s="73"/>
      <c r="Z152" s="73"/>
      <c r="AA152" s="74"/>
      <c r="AB152" s="73"/>
      <c r="AC152" s="263"/>
      <c r="AD152" s="263">
        <f t="shared" si="23"/>
        <v>44000</v>
      </c>
      <c r="AE152" s="263">
        <f t="shared" si="24"/>
        <v>-36000</v>
      </c>
      <c r="AF152" s="267"/>
      <c r="AG152" s="238"/>
    </row>
    <row r="153" spans="1:35" s="239" customFormat="1" ht="46.5" customHeight="1" x14ac:dyDescent="0.5">
      <c r="A153" s="233">
        <v>149</v>
      </c>
      <c r="B153" s="263" t="s">
        <v>499</v>
      </c>
      <c r="C153" s="270">
        <f t="shared" si="26"/>
        <v>205</v>
      </c>
      <c r="D153" s="269" t="s">
        <v>339</v>
      </c>
      <c r="E153" s="269" t="s">
        <v>340</v>
      </c>
      <c r="F153" s="188">
        <v>3006457620</v>
      </c>
      <c r="G153" s="187" t="s">
        <v>139</v>
      </c>
      <c r="H153" s="73">
        <v>8000</v>
      </c>
      <c r="I153" s="189">
        <v>32000</v>
      </c>
      <c r="J153" s="190"/>
      <c r="K153" s="266">
        <f t="shared" si="22"/>
        <v>40000</v>
      </c>
      <c r="L153" s="263">
        <v>8000</v>
      </c>
      <c r="M153" s="74" t="s">
        <v>940</v>
      </c>
      <c r="N153" s="74"/>
      <c r="O153" s="74"/>
      <c r="P153" s="263"/>
      <c r="Q153" s="73"/>
      <c r="R153" s="73"/>
      <c r="S153" s="73"/>
      <c r="T153" s="263">
        <v>10000</v>
      </c>
      <c r="U153" s="73" t="s">
        <v>939</v>
      </c>
      <c r="V153" s="73"/>
      <c r="W153" s="73"/>
      <c r="X153" s="263"/>
      <c r="Y153" s="73"/>
      <c r="Z153" s="73"/>
      <c r="AA153" s="74"/>
      <c r="AB153" s="73"/>
      <c r="AC153" s="263"/>
      <c r="AD153" s="263">
        <f t="shared" si="23"/>
        <v>18000</v>
      </c>
      <c r="AE153" s="263">
        <f t="shared" si="24"/>
        <v>-22000</v>
      </c>
      <c r="AF153" s="267"/>
      <c r="AG153" s="238"/>
    </row>
    <row r="154" spans="1:35" s="239" customFormat="1" ht="46.5" customHeight="1" x14ac:dyDescent="0.5">
      <c r="A154" s="233">
        <v>150</v>
      </c>
      <c r="B154" s="263" t="s">
        <v>499</v>
      </c>
      <c r="C154" s="270">
        <f t="shared" si="26"/>
        <v>206</v>
      </c>
      <c r="D154" s="269" t="s">
        <v>341</v>
      </c>
      <c r="E154" s="269" t="s">
        <v>342</v>
      </c>
      <c r="F154" s="188">
        <v>3014252187</v>
      </c>
      <c r="G154" s="187" t="s">
        <v>139</v>
      </c>
      <c r="H154" s="73">
        <v>8000</v>
      </c>
      <c r="I154" s="189">
        <v>32000</v>
      </c>
      <c r="J154" s="190"/>
      <c r="K154" s="266">
        <f t="shared" ref="K154:K185" si="27">I154+J154+H154</f>
        <v>40000</v>
      </c>
      <c r="L154" s="263">
        <v>8000</v>
      </c>
      <c r="M154" s="74" t="s">
        <v>637</v>
      </c>
      <c r="N154" s="74"/>
      <c r="O154" s="74"/>
      <c r="P154" s="263"/>
      <c r="Q154" s="73"/>
      <c r="R154" s="73"/>
      <c r="S154" s="73"/>
      <c r="T154" s="263">
        <v>8000</v>
      </c>
      <c r="U154" s="73" t="s">
        <v>978</v>
      </c>
      <c r="V154" s="73"/>
      <c r="W154" s="73"/>
      <c r="X154" s="263"/>
      <c r="Y154" s="73"/>
      <c r="Z154" s="73"/>
      <c r="AA154" s="74"/>
      <c r="AB154" s="73"/>
      <c r="AC154" s="263"/>
      <c r="AD154" s="263">
        <f t="shared" si="23"/>
        <v>16000</v>
      </c>
      <c r="AE154" s="263">
        <f t="shared" si="24"/>
        <v>-24000</v>
      </c>
      <c r="AF154" s="267"/>
      <c r="AG154" s="238"/>
    </row>
    <row r="155" spans="1:35" s="239" customFormat="1" ht="46.5" customHeight="1" x14ac:dyDescent="0.5">
      <c r="A155" s="233">
        <v>151</v>
      </c>
      <c r="B155" s="263" t="s">
        <v>499</v>
      </c>
      <c r="C155" s="270">
        <f t="shared" si="26"/>
        <v>207</v>
      </c>
      <c r="D155" s="269" t="s">
        <v>343</v>
      </c>
      <c r="E155" s="269" t="s">
        <v>344</v>
      </c>
      <c r="F155" s="188">
        <v>3327575607</v>
      </c>
      <c r="G155" s="187" t="s">
        <v>139</v>
      </c>
      <c r="H155" s="73">
        <v>8000</v>
      </c>
      <c r="I155" s="187">
        <v>36000</v>
      </c>
      <c r="J155" s="191"/>
      <c r="K155" s="266">
        <f t="shared" si="27"/>
        <v>44000</v>
      </c>
      <c r="L155" s="263">
        <v>8000</v>
      </c>
      <c r="M155" s="74" t="s">
        <v>548</v>
      </c>
      <c r="N155" s="74"/>
      <c r="O155" s="74"/>
      <c r="P155" s="263">
        <v>9000</v>
      </c>
      <c r="Q155" s="73" t="s">
        <v>810</v>
      </c>
      <c r="R155" s="73"/>
      <c r="S155" s="73"/>
      <c r="T155" s="263">
        <v>9000</v>
      </c>
      <c r="U155" s="73" t="s">
        <v>959</v>
      </c>
      <c r="V155" s="73"/>
      <c r="W155" s="73"/>
      <c r="X155" s="263"/>
      <c r="Y155" s="73"/>
      <c r="Z155" s="73"/>
      <c r="AA155" s="74"/>
      <c r="AB155" s="73"/>
      <c r="AC155" s="263"/>
      <c r="AD155" s="263">
        <f t="shared" si="23"/>
        <v>26000</v>
      </c>
      <c r="AE155" s="263">
        <f t="shared" si="24"/>
        <v>-18000</v>
      </c>
      <c r="AF155" s="267"/>
      <c r="AG155" s="238"/>
    </row>
    <row r="156" spans="1:35" s="239" customFormat="1" ht="46.5" customHeight="1" x14ac:dyDescent="0.5">
      <c r="A156" s="233">
        <v>152</v>
      </c>
      <c r="B156" s="263" t="s">
        <v>499</v>
      </c>
      <c r="C156" s="270">
        <f t="shared" si="26"/>
        <v>208</v>
      </c>
      <c r="D156" s="269" t="s">
        <v>345</v>
      </c>
      <c r="E156" s="269" t="s">
        <v>346</v>
      </c>
      <c r="F156" s="188">
        <v>3090335833</v>
      </c>
      <c r="G156" s="187" t="s">
        <v>139</v>
      </c>
      <c r="H156" s="73">
        <v>8000</v>
      </c>
      <c r="I156" s="187">
        <v>36000</v>
      </c>
      <c r="J156" s="190"/>
      <c r="K156" s="266">
        <f t="shared" si="27"/>
        <v>44000</v>
      </c>
      <c r="L156" s="263">
        <v>8000</v>
      </c>
      <c r="M156" s="74" t="s">
        <v>584</v>
      </c>
      <c r="N156" s="74"/>
      <c r="O156" s="74"/>
      <c r="P156" s="263">
        <v>9000</v>
      </c>
      <c r="Q156" s="73" t="s">
        <v>876</v>
      </c>
      <c r="R156" s="73"/>
      <c r="S156" s="73"/>
      <c r="T156" s="263">
        <v>9000</v>
      </c>
      <c r="U156" s="73">
        <v>952</v>
      </c>
      <c r="V156" s="73"/>
      <c r="W156" s="73"/>
      <c r="X156" s="263"/>
      <c r="Y156" s="73"/>
      <c r="Z156" s="73"/>
      <c r="AA156" s="74"/>
      <c r="AB156" s="73"/>
      <c r="AC156" s="263"/>
      <c r="AD156" s="263">
        <f t="shared" si="23"/>
        <v>26000</v>
      </c>
      <c r="AE156" s="263">
        <f t="shared" si="24"/>
        <v>-18000</v>
      </c>
      <c r="AF156" s="267"/>
      <c r="AG156" s="238"/>
    </row>
    <row r="157" spans="1:35" s="239" customFormat="1" ht="46.5" customHeight="1" x14ac:dyDescent="0.5">
      <c r="A157" s="233">
        <v>153</v>
      </c>
      <c r="B157" s="263" t="s">
        <v>499</v>
      </c>
      <c r="C157" s="270">
        <f t="shared" si="26"/>
        <v>209</v>
      </c>
      <c r="D157" s="269" t="s">
        <v>347</v>
      </c>
      <c r="E157" s="269" t="s">
        <v>348</v>
      </c>
      <c r="F157" s="188">
        <v>3041516485</v>
      </c>
      <c r="G157" s="187" t="s">
        <v>263</v>
      </c>
      <c r="H157" s="73">
        <v>8000</v>
      </c>
      <c r="I157" s="189">
        <v>17000</v>
      </c>
      <c r="J157" s="189">
        <v>50000</v>
      </c>
      <c r="K157" s="266">
        <f t="shared" si="27"/>
        <v>75000</v>
      </c>
      <c r="L157" s="263">
        <v>8000</v>
      </c>
      <c r="M157" s="74" t="s">
        <v>585</v>
      </c>
      <c r="N157" s="74"/>
      <c r="O157" s="74"/>
      <c r="P157" s="263">
        <v>12000</v>
      </c>
      <c r="Q157" s="73" t="s">
        <v>877</v>
      </c>
      <c r="R157" s="73">
        <v>15000</v>
      </c>
      <c r="S157" s="73"/>
      <c r="T157" s="263">
        <v>5000</v>
      </c>
      <c r="U157" s="73">
        <v>924</v>
      </c>
      <c r="V157" s="73"/>
      <c r="W157" s="73"/>
      <c r="X157" s="263"/>
      <c r="Y157" s="73"/>
      <c r="Z157" s="73"/>
      <c r="AA157" s="74"/>
      <c r="AB157" s="73"/>
      <c r="AC157" s="263"/>
      <c r="AD157" s="263">
        <f t="shared" si="23"/>
        <v>40000</v>
      </c>
      <c r="AE157" s="263">
        <f t="shared" si="24"/>
        <v>-35000</v>
      </c>
      <c r="AF157" s="267"/>
      <c r="AG157" s="238"/>
    </row>
    <row r="158" spans="1:35" s="239" customFormat="1" ht="46.5" customHeight="1" x14ac:dyDescent="0.5">
      <c r="A158" s="233">
        <v>154</v>
      </c>
      <c r="B158" s="263" t="s">
        <v>499</v>
      </c>
      <c r="C158" s="268">
        <f t="shared" si="26"/>
        <v>210</v>
      </c>
      <c r="D158" s="271" t="s">
        <v>349</v>
      </c>
      <c r="E158" s="269" t="s">
        <v>350</v>
      </c>
      <c r="F158" s="188">
        <v>3060965974</v>
      </c>
      <c r="G158" s="187" t="s">
        <v>396</v>
      </c>
      <c r="H158" s="73">
        <v>8000</v>
      </c>
      <c r="I158" s="189">
        <v>32000</v>
      </c>
      <c r="J158" s="189"/>
      <c r="K158" s="266">
        <f t="shared" si="27"/>
        <v>40000</v>
      </c>
      <c r="L158" s="263">
        <v>8000</v>
      </c>
      <c r="M158" s="74" t="s">
        <v>723</v>
      </c>
      <c r="N158" s="74"/>
      <c r="O158" s="74"/>
      <c r="P158" s="263">
        <v>8000</v>
      </c>
      <c r="Q158" s="73" t="s">
        <v>916</v>
      </c>
      <c r="R158" s="73"/>
      <c r="S158" s="73"/>
      <c r="T158" s="263">
        <v>8000</v>
      </c>
      <c r="U158" s="73" t="s">
        <v>1052</v>
      </c>
      <c r="V158" s="73"/>
      <c r="W158" s="73"/>
      <c r="X158" s="263"/>
      <c r="Y158" s="73"/>
      <c r="Z158" s="73"/>
      <c r="AA158" s="74"/>
      <c r="AB158" s="73"/>
      <c r="AC158" s="263"/>
      <c r="AD158" s="263">
        <f t="shared" si="23"/>
        <v>24000</v>
      </c>
      <c r="AE158" s="263">
        <f t="shared" si="24"/>
        <v>-16000</v>
      </c>
      <c r="AF158" s="267"/>
      <c r="AG158" s="238"/>
    </row>
    <row r="159" spans="1:35" s="239" customFormat="1" ht="46.5" customHeight="1" x14ac:dyDescent="0.5">
      <c r="A159" s="233">
        <v>155</v>
      </c>
      <c r="B159" s="263" t="s">
        <v>499</v>
      </c>
      <c r="C159" s="268">
        <f t="shared" si="26"/>
        <v>211</v>
      </c>
      <c r="D159" s="269" t="s">
        <v>351</v>
      </c>
      <c r="E159" s="269" t="s">
        <v>352</v>
      </c>
      <c r="F159" s="188">
        <v>3316345127</v>
      </c>
      <c r="G159" s="187" t="s">
        <v>139</v>
      </c>
      <c r="H159" s="73">
        <v>8000</v>
      </c>
      <c r="I159" s="189">
        <v>32000</v>
      </c>
      <c r="J159" s="189"/>
      <c r="K159" s="266">
        <f t="shared" si="27"/>
        <v>40000</v>
      </c>
      <c r="L159" s="263">
        <v>5000</v>
      </c>
      <c r="M159" s="74" t="s">
        <v>716</v>
      </c>
      <c r="N159" s="74"/>
      <c r="O159" s="74"/>
      <c r="P159" s="263">
        <v>8000</v>
      </c>
      <c r="Q159" s="73" t="s">
        <v>1040</v>
      </c>
      <c r="R159" s="73"/>
      <c r="S159" s="73"/>
      <c r="T159" s="263"/>
      <c r="U159" s="73"/>
      <c r="V159" s="73"/>
      <c r="W159" s="73"/>
      <c r="X159" s="263"/>
      <c r="Y159" s="73"/>
      <c r="Z159" s="73"/>
      <c r="AA159" s="74"/>
      <c r="AB159" s="73"/>
      <c r="AC159" s="263"/>
      <c r="AD159" s="263">
        <f t="shared" si="23"/>
        <v>13000</v>
      </c>
      <c r="AE159" s="263">
        <f t="shared" si="24"/>
        <v>-27000</v>
      </c>
      <c r="AF159" s="267"/>
      <c r="AG159" s="238"/>
    </row>
    <row r="160" spans="1:35" s="239" customFormat="1" ht="46.5" customHeight="1" x14ac:dyDescent="0.5">
      <c r="A160" s="233">
        <v>156</v>
      </c>
      <c r="B160" s="263" t="s">
        <v>499</v>
      </c>
      <c r="C160" s="270">
        <f t="shared" si="26"/>
        <v>212</v>
      </c>
      <c r="D160" s="269" t="s">
        <v>353</v>
      </c>
      <c r="E160" s="269" t="s">
        <v>354</v>
      </c>
      <c r="F160" s="188">
        <v>3482767424</v>
      </c>
      <c r="G160" s="187" t="s">
        <v>36</v>
      </c>
      <c r="H160" s="73">
        <v>8000</v>
      </c>
      <c r="I160" s="187">
        <v>22000</v>
      </c>
      <c r="J160" s="190">
        <v>50000</v>
      </c>
      <c r="K160" s="266">
        <f t="shared" si="27"/>
        <v>80000</v>
      </c>
      <c r="L160" s="263">
        <v>8000</v>
      </c>
      <c r="M160" s="74" t="s">
        <v>557</v>
      </c>
      <c r="N160" s="74"/>
      <c r="O160" s="74"/>
      <c r="P160" s="263">
        <v>8000</v>
      </c>
      <c r="Q160" s="73" t="s">
        <v>851</v>
      </c>
      <c r="R160" s="73">
        <v>17000</v>
      </c>
      <c r="S160" s="73"/>
      <c r="T160" s="263">
        <v>10000</v>
      </c>
      <c r="U160" s="73" t="s">
        <v>996</v>
      </c>
      <c r="V160" s="73"/>
      <c r="W160" s="73"/>
      <c r="X160" s="263"/>
      <c r="Y160" s="73"/>
      <c r="Z160" s="73">
        <v>18000</v>
      </c>
      <c r="AA160" s="74" t="s">
        <v>1179</v>
      </c>
      <c r="AB160" s="73"/>
      <c r="AC160" s="263"/>
      <c r="AD160" s="263">
        <f t="shared" si="23"/>
        <v>61000</v>
      </c>
      <c r="AE160" s="263">
        <f t="shared" si="24"/>
        <v>-19000</v>
      </c>
      <c r="AF160" s="267"/>
      <c r="AG160" s="238"/>
    </row>
    <row r="161" spans="1:33" s="239" customFormat="1" ht="46.5" customHeight="1" x14ac:dyDescent="0.5">
      <c r="A161" s="233">
        <v>157</v>
      </c>
      <c r="B161" s="263" t="s">
        <v>499</v>
      </c>
      <c r="C161" s="270">
        <f t="shared" si="26"/>
        <v>213</v>
      </c>
      <c r="D161" s="269" t="s">
        <v>355</v>
      </c>
      <c r="E161" s="269" t="s">
        <v>356</v>
      </c>
      <c r="F161" s="188" t="s">
        <v>357</v>
      </c>
      <c r="G161" s="187" t="s">
        <v>214</v>
      </c>
      <c r="H161" s="73">
        <v>8000</v>
      </c>
      <c r="I161" s="187">
        <v>22000</v>
      </c>
      <c r="J161" s="190">
        <v>50000</v>
      </c>
      <c r="K161" s="266">
        <f t="shared" si="27"/>
        <v>80000</v>
      </c>
      <c r="L161" s="263">
        <v>8000</v>
      </c>
      <c r="M161" s="74" t="s">
        <v>597</v>
      </c>
      <c r="N161" s="74"/>
      <c r="O161" s="74"/>
      <c r="P161" s="263"/>
      <c r="Q161" s="73"/>
      <c r="R161" s="73">
        <v>10000</v>
      </c>
      <c r="S161" s="73"/>
      <c r="T161" s="263">
        <v>18000</v>
      </c>
      <c r="U161" s="73" t="s">
        <v>1022</v>
      </c>
      <c r="V161" s="73"/>
      <c r="W161" s="73"/>
      <c r="X161" s="263"/>
      <c r="Y161" s="73"/>
      <c r="Z161" s="73">
        <v>20000</v>
      </c>
      <c r="AA161" s="74" t="s">
        <v>1180</v>
      </c>
      <c r="AB161" s="73"/>
      <c r="AC161" s="263"/>
      <c r="AD161" s="263">
        <f t="shared" si="23"/>
        <v>56000</v>
      </c>
      <c r="AE161" s="263">
        <f t="shared" si="24"/>
        <v>-24000</v>
      </c>
      <c r="AF161" s="267"/>
      <c r="AG161" s="238"/>
    </row>
    <row r="162" spans="1:33" s="239" customFormat="1" ht="46.5" customHeight="1" x14ac:dyDescent="0.5">
      <c r="A162" s="233">
        <v>158</v>
      </c>
      <c r="B162" s="263" t="s">
        <v>499</v>
      </c>
      <c r="C162" s="268">
        <f t="shared" si="26"/>
        <v>214</v>
      </c>
      <c r="D162" s="269" t="s">
        <v>358</v>
      </c>
      <c r="E162" s="269" t="s">
        <v>359</v>
      </c>
      <c r="F162" s="188">
        <v>3443562940</v>
      </c>
      <c r="G162" s="187" t="s">
        <v>141</v>
      </c>
      <c r="H162" s="73">
        <v>8000</v>
      </c>
      <c r="I162" s="189">
        <v>22000</v>
      </c>
      <c r="J162" s="190">
        <v>50000</v>
      </c>
      <c r="K162" s="266">
        <f t="shared" si="27"/>
        <v>80000</v>
      </c>
      <c r="L162" s="263">
        <v>8000</v>
      </c>
      <c r="M162" s="74" t="s">
        <v>636</v>
      </c>
      <c r="N162" s="74"/>
      <c r="O162" s="74"/>
      <c r="P162" s="263">
        <v>12000</v>
      </c>
      <c r="Q162" s="73" t="s">
        <v>783</v>
      </c>
      <c r="R162" s="73">
        <f>12000+6000</f>
        <v>18000</v>
      </c>
      <c r="S162" s="73"/>
      <c r="T162" s="263"/>
      <c r="U162" s="73"/>
      <c r="V162" s="73"/>
      <c r="W162" s="73"/>
      <c r="X162" s="263"/>
      <c r="Y162" s="73"/>
      <c r="Z162" s="73"/>
      <c r="AA162" s="74"/>
      <c r="AB162" s="73"/>
      <c r="AC162" s="263"/>
      <c r="AD162" s="263">
        <f t="shared" si="23"/>
        <v>38000</v>
      </c>
      <c r="AE162" s="263">
        <f t="shared" si="24"/>
        <v>-42000</v>
      </c>
      <c r="AF162" s="267"/>
      <c r="AG162" s="238"/>
    </row>
    <row r="163" spans="1:33" s="239" customFormat="1" ht="46.5" customHeight="1" x14ac:dyDescent="0.5">
      <c r="A163" s="233">
        <v>159</v>
      </c>
      <c r="B163" s="263" t="s">
        <v>499</v>
      </c>
      <c r="C163" s="270">
        <f t="shared" si="26"/>
        <v>215</v>
      </c>
      <c r="D163" s="271" t="s">
        <v>275</v>
      </c>
      <c r="E163" s="269" t="s">
        <v>300</v>
      </c>
      <c r="F163" s="188">
        <v>3066744531</v>
      </c>
      <c r="G163" s="187" t="s">
        <v>21</v>
      </c>
      <c r="H163" s="73">
        <v>8000</v>
      </c>
      <c r="I163" s="189">
        <v>32000</v>
      </c>
      <c r="J163" s="189"/>
      <c r="K163" s="266">
        <f t="shared" si="27"/>
        <v>40000</v>
      </c>
      <c r="L163" s="263">
        <v>8000</v>
      </c>
      <c r="M163" s="74" t="s">
        <v>683</v>
      </c>
      <c r="N163" s="74"/>
      <c r="O163" s="74"/>
      <c r="P163" s="263"/>
      <c r="Q163" s="73"/>
      <c r="R163" s="73"/>
      <c r="S163" s="73"/>
      <c r="T163" s="263">
        <v>8000</v>
      </c>
      <c r="U163" s="73">
        <v>956</v>
      </c>
      <c r="V163" s="73"/>
      <c r="W163" s="73"/>
      <c r="X163" s="263"/>
      <c r="Y163" s="73"/>
      <c r="Z163" s="73"/>
      <c r="AA163" s="74"/>
      <c r="AB163" s="73"/>
      <c r="AC163" s="263"/>
      <c r="AD163" s="263">
        <f t="shared" si="23"/>
        <v>16000</v>
      </c>
      <c r="AE163" s="263">
        <f t="shared" si="24"/>
        <v>-24000</v>
      </c>
      <c r="AF163" s="267"/>
      <c r="AG163" s="238"/>
    </row>
    <row r="164" spans="1:33" s="239" customFormat="1" ht="46.5" customHeight="1" x14ac:dyDescent="0.5">
      <c r="A164" s="233">
        <v>160</v>
      </c>
      <c r="B164" s="263" t="s">
        <v>499</v>
      </c>
      <c r="C164" s="268">
        <f t="shared" si="26"/>
        <v>216</v>
      </c>
      <c r="D164" s="269" t="s">
        <v>360</v>
      </c>
      <c r="E164" s="269" t="s">
        <v>361</v>
      </c>
      <c r="F164" s="188">
        <v>3291850481</v>
      </c>
      <c r="G164" s="187" t="s">
        <v>35</v>
      </c>
      <c r="H164" s="73">
        <v>8000</v>
      </c>
      <c r="I164" s="187">
        <v>32000</v>
      </c>
      <c r="J164" s="190"/>
      <c r="K164" s="266">
        <f t="shared" si="27"/>
        <v>40000</v>
      </c>
      <c r="L164" s="263">
        <v>8000</v>
      </c>
      <c r="M164" s="74" t="s">
        <v>579</v>
      </c>
      <c r="N164" s="74"/>
      <c r="O164" s="74"/>
      <c r="P164" s="263">
        <v>8000</v>
      </c>
      <c r="Q164" s="73" t="s">
        <v>1035</v>
      </c>
      <c r="R164" s="73"/>
      <c r="S164" s="73"/>
      <c r="T164" s="263"/>
      <c r="U164" s="73"/>
      <c r="V164" s="73"/>
      <c r="W164" s="73"/>
      <c r="X164" s="263"/>
      <c r="Y164" s="73"/>
      <c r="Z164" s="73"/>
      <c r="AA164" s="74"/>
      <c r="AB164" s="73"/>
      <c r="AC164" s="263"/>
      <c r="AD164" s="263">
        <f t="shared" si="23"/>
        <v>16000</v>
      </c>
      <c r="AE164" s="263">
        <f t="shared" si="24"/>
        <v>-24000</v>
      </c>
      <c r="AF164" s="267"/>
      <c r="AG164" s="238"/>
    </row>
    <row r="165" spans="1:33" s="239" customFormat="1" ht="46.5" customHeight="1" x14ac:dyDescent="0.5">
      <c r="A165" s="233">
        <v>161</v>
      </c>
      <c r="B165" s="263" t="s">
        <v>499</v>
      </c>
      <c r="C165" s="268">
        <f t="shared" si="26"/>
        <v>217</v>
      </c>
      <c r="D165" s="269" t="s">
        <v>362</v>
      </c>
      <c r="E165" s="269" t="s">
        <v>363</v>
      </c>
      <c r="F165" s="188">
        <v>3450530452</v>
      </c>
      <c r="G165" s="187" t="s">
        <v>141</v>
      </c>
      <c r="H165" s="73">
        <v>8000</v>
      </c>
      <c r="I165" s="189">
        <v>17000</v>
      </c>
      <c r="J165" s="189">
        <v>50000</v>
      </c>
      <c r="K165" s="266">
        <f t="shared" si="27"/>
        <v>75000</v>
      </c>
      <c r="L165" s="263">
        <v>8000</v>
      </c>
      <c r="M165" s="74" t="s">
        <v>740</v>
      </c>
      <c r="N165" s="74"/>
      <c r="O165" s="74"/>
      <c r="P165" s="263"/>
      <c r="Q165" s="73"/>
      <c r="R165" s="73">
        <f>15000+19000</f>
        <v>34000</v>
      </c>
      <c r="S165" s="73" t="s">
        <v>1038</v>
      </c>
      <c r="T165" s="263"/>
      <c r="U165" s="73"/>
      <c r="V165" s="73"/>
      <c r="W165" s="73"/>
      <c r="X165" s="263"/>
      <c r="Y165" s="73"/>
      <c r="Z165" s="73"/>
      <c r="AA165" s="74"/>
      <c r="AB165" s="73"/>
      <c r="AC165" s="263"/>
      <c r="AD165" s="263">
        <f t="shared" si="23"/>
        <v>42000</v>
      </c>
      <c r="AE165" s="263">
        <f t="shared" si="24"/>
        <v>-33000</v>
      </c>
      <c r="AF165" s="267"/>
      <c r="AG165" s="238"/>
    </row>
    <row r="166" spans="1:33" s="239" customFormat="1" ht="46.5" customHeight="1" x14ac:dyDescent="0.5">
      <c r="A166" s="233">
        <v>162</v>
      </c>
      <c r="B166" s="263" t="s">
        <v>499</v>
      </c>
      <c r="C166" s="270">
        <f t="shared" si="26"/>
        <v>218</v>
      </c>
      <c r="D166" s="269" t="s">
        <v>364</v>
      </c>
      <c r="E166" s="269" t="s">
        <v>365</v>
      </c>
      <c r="F166" s="188">
        <v>3057200709</v>
      </c>
      <c r="G166" s="187" t="s">
        <v>32</v>
      </c>
      <c r="H166" s="73">
        <v>8000</v>
      </c>
      <c r="I166" s="189">
        <v>34000</v>
      </c>
      <c r="J166" s="189"/>
      <c r="K166" s="266">
        <f t="shared" si="27"/>
        <v>42000</v>
      </c>
      <c r="L166" s="263">
        <v>8000</v>
      </c>
      <c r="M166" s="74" t="s">
        <v>676</v>
      </c>
      <c r="N166" s="74"/>
      <c r="O166" s="74"/>
      <c r="P166" s="263"/>
      <c r="Q166" s="73"/>
      <c r="R166" s="73"/>
      <c r="S166" s="73"/>
      <c r="T166" s="263">
        <v>10000</v>
      </c>
      <c r="U166" s="73" t="s">
        <v>967</v>
      </c>
      <c r="V166" s="73"/>
      <c r="W166" s="73"/>
      <c r="X166" s="263"/>
      <c r="Y166" s="73"/>
      <c r="Z166" s="73"/>
      <c r="AA166" s="74"/>
      <c r="AB166" s="73"/>
      <c r="AC166" s="263"/>
      <c r="AD166" s="263">
        <f t="shared" si="23"/>
        <v>18000</v>
      </c>
      <c r="AE166" s="263">
        <f t="shared" si="24"/>
        <v>-24000</v>
      </c>
      <c r="AF166" s="267"/>
      <c r="AG166" s="238"/>
    </row>
    <row r="167" spans="1:33" s="239" customFormat="1" ht="46.5" customHeight="1" x14ac:dyDescent="0.5">
      <c r="A167" s="233">
        <v>163</v>
      </c>
      <c r="B167" s="263" t="s">
        <v>499</v>
      </c>
      <c r="C167" s="270">
        <f t="shared" si="26"/>
        <v>219</v>
      </c>
      <c r="D167" s="269" t="s">
        <v>356</v>
      </c>
      <c r="E167" s="269" t="s">
        <v>366</v>
      </c>
      <c r="F167" s="188">
        <v>3194890565</v>
      </c>
      <c r="G167" s="187" t="s">
        <v>263</v>
      </c>
      <c r="H167" s="73">
        <v>8000</v>
      </c>
      <c r="I167" s="189">
        <v>12000</v>
      </c>
      <c r="J167" s="190">
        <v>50000</v>
      </c>
      <c r="K167" s="266">
        <f t="shared" si="27"/>
        <v>70000</v>
      </c>
      <c r="L167" s="263">
        <v>8000</v>
      </c>
      <c r="M167" s="74" t="s">
        <v>619</v>
      </c>
      <c r="N167" s="74"/>
      <c r="O167" s="74"/>
      <c r="P167" s="263">
        <v>12000</v>
      </c>
      <c r="Q167" s="73" t="s">
        <v>880</v>
      </c>
      <c r="R167" s="73">
        <v>15000</v>
      </c>
      <c r="S167" s="73" t="s">
        <v>1032</v>
      </c>
      <c r="T167" s="263"/>
      <c r="U167" s="73"/>
      <c r="V167" s="73"/>
      <c r="W167" s="73"/>
      <c r="X167" s="263"/>
      <c r="Y167" s="73"/>
      <c r="Z167" s="73"/>
      <c r="AA167" s="74"/>
      <c r="AB167" s="73"/>
      <c r="AC167" s="263"/>
      <c r="AD167" s="263">
        <f t="shared" si="23"/>
        <v>35000</v>
      </c>
      <c r="AE167" s="263">
        <f t="shared" si="24"/>
        <v>-35000</v>
      </c>
      <c r="AF167" s="267"/>
      <c r="AG167" s="238"/>
    </row>
    <row r="168" spans="1:33" s="34" customFormat="1" ht="46.5" customHeight="1" x14ac:dyDescent="0.35">
      <c r="A168" s="59">
        <v>164</v>
      </c>
      <c r="B168" s="73" t="s">
        <v>499</v>
      </c>
      <c r="C168" s="187">
        <f t="shared" si="26"/>
        <v>220</v>
      </c>
      <c r="D168" s="90" t="s">
        <v>367</v>
      </c>
      <c r="E168" s="90" t="s">
        <v>368</v>
      </c>
      <c r="F168" s="188">
        <v>3327144137</v>
      </c>
      <c r="G168" s="187" t="s">
        <v>141</v>
      </c>
      <c r="H168" s="73">
        <v>8000</v>
      </c>
      <c r="I168" s="189">
        <v>32000</v>
      </c>
      <c r="J168" s="190"/>
      <c r="K168" s="186">
        <f t="shared" si="27"/>
        <v>40000</v>
      </c>
      <c r="L168" s="73">
        <v>8000</v>
      </c>
      <c r="M168" s="74" t="s">
        <v>631</v>
      </c>
      <c r="N168" s="74"/>
      <c r="O168" s="74"/>
      <c r="P168" s="74">
        <v>8000</v>
      </c>
      <c r="Q168" s="74" t="s">
        <v>836</v>
      </c>
      <c r="R168" s="74"/>
      <c r="S168" s="74"/>
      <c r="T168" s="74">
        <v>8000</v>
      </c>
      <c r="U168" s="74">
        <v>955</v>
      </c>
      <c r="V168" s="74"/>
      <c r="W168" s="74"/>
      <c r="X168" s="73">
        <v>8000</v>
      </c>
      <c r="Y168" s="73" t="s">
        <v>1147</v>
      </c>
      <c r="Z168" s="73"/>
      <c r="AA168" s="74"/>
      <c r="AB168" s="73"/>
      <c r="AC168" s="73"/>
      <c r="AD168" s="73">
        <f t="shared" si="23"/>
        <v>32000</v>
      </c>
      <c r="AE168" s="73">
        <f t="shared" si="24"/>
        <v>-8000</v>
      </c>
      <c r="AF168" s="75"/>
      <c r="AG168" s="33"/>
    </row>
    <row r="169" spans="1:33" s="239" customFormat="1" ht="46.5" customHeight="1" x14ac:dyDescent="0.5">
      <c r="A169" s="233">
        <v>165</v>
      </c>
      <c r="B169" s="263" t="s">
        <v>499</v>
      </c>
      <c r="C169" s="270">
        <f t="shared" si="26"/>
        <v>221</v>
      </c>
      <c r="D169" s="269" t="s">
        <v>369</v>
      </c>
      <c r="E169" s="269" t="s">
        <v>370</v>
      </c>
      <c r="F169" s="188">
        <v>3332972468</v>
      </c>
      <c r="G169" s="187" t="s">
        <v>139</v>
      </c>
      <c r="H169" s="73">
        <v>8000</v>
      </c>
      <c r="I169" s="187">
        <v>32000</v>
      </c>
      <c r="J169" s="190"/>
      <c r="K169" s="266">
        <f t="shared" si="27"/>
        <v>40000</v>
      </c>
      <c r="L169" s="263">
        <v>8000</v>
      </c>
      <c r="M169" s="74" t="s">
        <v>576</v>
      </c>
      <c r="N169" s="74"/>
      <c r="O169" s="74"/>
      <c r="P169" s="272">
        <v>10000</v>
      </c>
      <c r="Q169" s="74" t="s">
        <v>864</v>
      </c>
      <c r="R169" s="74"/>
      <c r="S169" s="74"/>
      <c r="T169" s="272">
        <v>7500</v>
      </c>
      <c r="U169" s="74" t="s">
        <v>968</v>
      </c>
      <c r="V169" s="74"/>
      <c r="W169" s="74"/>
      <c r="X169" s="263"/>
      <c r="Y169" s="73"/>
      <c r="Z169" s="73"/>
      <c r="AA169" s="74"/>
      <c r="AB169" s="73"/>
      <c r="AC169" s="263"/>
      <c r="AD169" s="263">
        <f t="shared" si="23"/>
        <v>25500</v>
      </c>
      <c r="AE169" s="263">
        <f t="shared" si="24"/>
        <v>-14500</v>
      </c>
      <c r="AF169" s="267"/>
      <c r="AG169" s="238"/>
    </row>
    <row r="170" spans="1:33" s="34" customFormat="1" ht="46.5" customHeight="1" x14ac:dyDescent="0.35">
      <c r="A170" s="59">
        <v>166</v>
      </c>
      <c r="B170" s="73" t="s">
        <v>499</v>
      </c>
      <c r="C170" s="187">
        <f t="shared" si="26"/>
        <v>222</v>
      </c>
      <c r="D170" s="192" t="s">
        <v>371</v>
      </c>
      <c r="E170" s="90" t="s">
        <v>112</v>
      </c>
      <c r="F170" s="188">
        <v>3013201197</v>
      </c>
      <c r="G170" s="187" t="s">
        <v>39</v>
      </c>
      <c r="H170" s="73">
        <v>8000</v>
      </c>
      <c r="I170" s="189">
        <v>17000</v>
      </c>
      <c r="J170" s="189">
        <v>50000</v>
      </c>
      <c r="K170" s="186">
        <f t="shared" si="27"/>
        <v>75000</v>
      </c>
      <c r="L170" s="73">
        <v>8000</v>
      </c>
      <c r="M170" s="74" t="s">
        <v>622</v>
      </c>
      <c r="N170" s="74"/>
      <c r="O170" s="74"/>
      <c r="P170" s="73">
        <v>10000</v>
      </c>
      <c r="Q170" s="73" t="s">
        <v>881</v>
      </c>
      <c r="R170" s="73">
        <v>25000</v>
      </c>
      <c r="S170" s="73"/>
      <c r="T170" s="73"/>
      <c r="U170" s="73"/>
      <c r="V170" s="73"/>
      <c r="W170" s="73"/>
      <c r="X170" s="73">
        <v>6000</v>
      </c>
      <c r="Y170" s="73" t="s">
        <v>1122</v>
      </c>
      <c r="Z170" s="73"/>
      <c r="AA170" s="74"/>
      <c r="AB170" s="73"/>
      <c r="AC170" s="73"/>
      <c r="AD170" s="73">
        <f t="shared" si="23"/>
        <v>49000</v>
      </c>
      <c r="AE170" s="73">
        <f t="shared" si="24"/>
        <v>-26000</v>
      </c>
      <c r="AF170" s="75"/>
      <c r="AG170" s="33"/>
    </row>
    <row r="171" spans="1:33" s="239" customFormat="1" ht="46.5" customHeight="1" x14ac:dyDescent="0.5">
      <c r="A171" s="233">
        <v>167</v>
      </c>
      <c r="B171" s="263" t="s">
        <v>499</v>
      </c>
      <c r="C171" s="270">
        <f t="shared" si="26"/>
        <v>223</v>
      </c>
      <c r="D171" s="271" t="s">
        <v>355</v>
      </c>
      <c r="E171" s="269" t="s">
        <v>372</v>
      </c>
      <c r="F171" s="188">
        <v>3707020185</v>
      </c>
      <c r="G171" s="193" t="s">
        <v>141</v>
      </c>
      <c r="H171" s="73">
        <v>8000</v>
      </c>
      <c r="I171" s="189">
        <v>22000</v>
      </c>
      <c r="J171" s="190">
        <v>50000</v>
      </c>
      <c r="K171" s="266">
        <f t="shared" si="27"/>
        <v>80000</v>
      </c>
      <c r="L171" s="263">
        <v>8000</v>
      </c>
      <c r="M171" s="74" t="s">
        <v>625</v>
      </c>
      <c r="N171" s="74"/>
      <c r="O171" s="74"/>
      <c r="P171" s="263"/>
      <c r="Q171" s="73"/>
      <c r="R171" s="73"/>
      <c r="S171" s="73"/>
      <c r="T171" s="263">
        <v>21000</v>
      </c>
      <c r="U171" s="73" t="s">
        <v>1017</v>
      </c>
      <c r="V171" s="73"/>
      <c r="W171" s="73"/>
      <c r="X171" s="263"/>
      <c r="Y171" s="73"/>
      <c r="Z171" s="73"/>
      <c r="AA171" s="74"/>
      <c r="AB171" s="73"/>
      <c r="AC171" s="263"/>
      <c r="AD171" s="263">
        <f t="shared" si="23"/>
        <v>29000</v>
      </c>
      <c r="AE171" s="263">
        <f t="shared" si="24"/>
        <v>-51000</v>
      </c>
      <c r="AF171" s="267"/>
      <c r="AG171" s="238"/>
    </row>
    <row r="172" spans="1:33" s="239" customFormat="1" ht="46.5" customHeight="1" x14ac:dyDescent="0.5">
      <c r="A172" s="233">
        <v>168</v>
      </c>
      <c r="B172" s="263" t="s">
        <v>499</v>
      </c>
      <c r="C172" s="270">
        <f t="shared" si="26"/>
        <v>224</v>
      </c>
      <c r="D172" s="269" t="s">
        <v>373</v>
      </c>
      <c r="E172" s="269" t="s">
        <v>374</v>
      </c>
      <c r="F172" s="188">
        <v>3059720481</v>
      </c>
      <c r="G172" s="187" t="s">
        <v>35</v>
      </c>
      <c r="H172" s="73">
        <v>8000</v>
      </c>
      <c r="I172" s="189">
        <v>17000</v>
      </c>
      <c r="J172" s="189">
        <v>50000</v>
      </c>
      <c r="K172" s="266">
        <f t="shared" si="27"/>
        <v>75000</v>
      </c>
      <c r="L172" s="263">
        <v>8000</v>
      </c>
      <c r="M172" s="74" t="s">
        <v>693</v>
      </c>
      <c r="N172" s="74"/>
      <c r="O172" s="74"/>
      <c r="P172" s="263">
        <v>10000</v>
      </c>
      <c r="Q172" s="73" t="s">
        <v>1033</v>
      </c>
      <c r="R172" s="73"/>
      <c r="S172" s="73"/>
      <c r="T172" s="263">
        <v>11000</v>
      </c>
      <c r="U172" s="73" t="s">
        <v>1165</v>
      </c>
      <c r="V172" s="73"/>
      <c r="W172" s="73"/>
      <c r="X172" s="263"/>
      <c r="Y172" s="73"/>
      <c r="Z172" s="73"/>
      <c r="AA172" s="74"/>
      <c r="AB172" s="73"/>
      <c r="AC172" s="263"/>
      <c r="AD172" s="263">
        <f t="shared" si="23"/>
        <v>29000</v>
      </c>
      <c r="AE172" s="263">
        <f t="shared" si="24"/>
        <v>-46000</v>
      </c>
      <c r="AF172" s="267"/>
      <c r="AG172" s="238"/>
    </row>
    <row r="173" spans="1:33" s="34" customFormat="1" ht="46.5" customHeight="1" x14ac:dyDescent="0.35">
      <c r="A173" s="59">
        <v>169</v>
      </c>
      <c r="B173" s="108" t="s">
        <v>499</v>
      </c>
      <c r="C173" s="146">
        <f t="shared" si="26"/>
        <v>225</v>
      </c>
      <c r="D173" s="125" t="s">
        <v>375</v>
      </c>
      <c r="E173" s="125" t="s">
        <v>376</v>
      </c>
      <c r="F173" s="188">
        <v>3001413480</v>
      </c>
      <c r="G173" s="187" t="s">
        <v>139</v>
      </c>
      <c r="H173" s="108">
        <v>8000</v>
      </c>
      <c r="I173" s="146">
        <v>42000</v>
      </c>
      <c r="J173" s="146"/>
      <c r="K173" s="126">
        <f t="shared" si="27"/>
        <v>50000</v>
      </c>
      <c r="L173" s="108">
        <v>8000</v>
      </c>
      <c r="M173" s="74" t="s">
        <v>555</v>
      </c>
      <c r="N173" s="74"/>
      <c r="O173" s="74"/>
      <c r="P173" s="108">
        <v>12500</v>
      </c>
      <c r="Q173" s="73" t="s">
        <v>981</v>
      </c>
      <c r="R173" s="73"/>
      <c r="S173" s="73"/>
      <c r="T173" s="108">
        <v>10000</v>
      </c>
      <c r="U173" s="73">
        <v>915</v>
      </c>
      <c r="V173" s="73"/>
      <c r="W173" s="73"/>
      <c r="X173" s="108">
        <v>19500</v>
      </c>
      <c r="Y173" s="108" t="s">
        <v>1130</v>
      </c>
      <c r="Z173" s="73"/>
      <c r="AA173" s="74"/>
      <c r="AB173" s="73"/>
      <c r="AC173" s="108"/>
      <c r="AD173" s="108">
        <f t="shared" si="23"/>
        <v>50000</v>
      </c>
      <c r="AE173" s="108">
        <f t="shared" si="24"/>
        <v>0</v>
      </c>
      <c r="AF173" s="127"/>
      <c r="AG173" s="33"/>
    </row>
    <row r="174" spans="1:33" s="239" customFormat="1" ht="46.5" customHeight="1" x14ac:dyDescent="0.5">
      <c r="A174" s="233">
        <v>170</v>
      </c>
      <c r="B174" s="263" t="s">
        <v>499</v>
      </c>
      <c r="C174" s="270">
        <f t="shared" si="26"/>
        <v>226</v>
      </c>
      <c r="D174" s="271" t="s">
        <v>377</v>
      </c>
      <c r="E174" s="269" t="s">
        <v>378</v>
      </c>
      <c r="F174" s="188">
        <v>3117368440</v>
      </c>
      <c r="G174" s="187" t="s">
        <v>26</v>
      </c>
      <c r="H174" s="73">
        <v>8000</v>
      </c>
      <c r="I174" s="189">
        <v>22000</v>
      </c>
      <c r="J174" s="190">
        <v>50000</v>
      </c>
      <c r="K174" s="266">
        <f t="shared" si="27"/>
        <v>80000</v>
      </c>
      <c r="L174" s="263">
        <v>8000</v>
      </c>
      <c r="M174" s="74" t="s">
        <v>644</v>
      </c>
      <c r="N174" s="74"/>
      <c r="O174" s="74"/>
      <c r="P174" s="263">
        <v>2000</v>
      </c>
      <c r="Q174" s="73" t="s">
        <v>787</v>
      </c>
      <c r="R174" s="73"/>
      <c r="S174" s="73"/>
      <c r="T174" s="263">
        <v>10000</v>
      </c>
      <c r="U174" s="73">
        <v>914</v>
      </c>
      <c r="V174" s="73"/>
      <c r="W174" s="73"/>
      <c r="X174" s="263"/>
      <c r="Y174" s="73"/>
      <c r="Z174" s="73"/>
      <c r="AA174" s="74"/>
      <c r="AB174" s="73"/>
      <c r="AC174" s="263"/>
      <c r="AD174" s="263">
        <f t="shared" si="23"/>
        <v>20000</v>
      </c>
      <c r="AE174" s="263">
        <f t="shared" si="24"/>
        <v>-60000</v>
      </c>
      <c r="AF174" s="267"/>
      <c r="AG174" s="238"/>
    </row>
    <row r="175" spans="1:33" s="239" customFormat="1" ht="46.5" customHeight="1" x14ac:dyDescent="0.5">
      <c r="A175" s="233">
        <v>171</v>
      </c>
      <c r="B175" s="263" t="s">
        <v>499</v>
      </c>
      <c r="C175" s="270">
        <f t="shared" si="26"/>
        <v>227</v>
      </c>
      <c r="D175" s="269" t="s">
        <v>283</v>
      </c>
      <c r="E175" s="269" t="s">
        <v>379</v>
      </c>
      <c r="F175" s="188">
        <v>3058492552</v>
      </c>
      <c r="G175" s="187" t="s">
        <v>182</v>
      </c>
      <c r="H175" s="73">
        <v>8000</v>
      </c>
      <c r="I175" s="187">
        <v>22000</v>
      </c>
      <c r="J175" s="190">
        <v>50000</v>
      </c>
      <c r="K175" s="266">
        <f t="shared" si="27"/>
        <v>80000</v>
      </c>
      <c r="L175" s="263"/>
      <c r="M175" s="74"/>
      <c r="N175" s="74"/>
      <c r="O175" s="74"/>
      <c r="P175" s="263">
        <v>32000</v>
      </c>
      <c r="Q175" s="73" t="s">
        <v>775</v>
      </c>
      <c r="R175" s="73">
        <v>40000</v>
      </c>
      <c r="S175" s="73"/>
      <c r="T175" s="263"/>
      <c r="U175" s="73"/>
      <c r="V175" s="73"/>
      <c r="W175" s="73"/>
      <c r="X175" s="263"/>
      <c r="Y175" s="73"/>
      <c r="Z175" s="73"/>
      <c r="AA175" s="74"/>
      <c r="AB175" s="73"/>
      <c r="AC175" s="263"/>
      <c r="AD175" s="263">
        <f t="shared" si="23"/>
        <v>72000</v>
      </c>
      <c r="AE175" s="263">
        <f t="shared" si="24"/>
        <v>-8000</v>
      </c>
      <c r="AF175" s="267"/>
      <c r="AG175" s="238"/>
    </row>
    <row r="176" spans="1:33" s="239" customFormat="1" ht="46.5" customHeight="1" x14ac:dyDescent="0.5">
      <c r="A176" s="233">
        <v>172</v>
      </c>
      <c r="B176" s="263" t="s">
        <v>499</v>
      </c>
      <c r="C176" s="270">
        <f t="shared" si="26"/>
        <v>228</v>
      </c>
      <c r="D176" s="271" t="s">
        <v>395</v>
      </c>
      <c r="E176" s="269" t="s">
        <v>198</v>
      </c>
      <c r="F176" s="188">
        <v>3703770506</v>
      </c>
      <c r="G176" s="187" t="s">
        <v>141</v>
      </c>
      <c r="H176" s="73">
        <v>8000</v>
      </c>
      <c r="I176" s="189">
        <v>22000</v>
      </c>
      <c r="J176" s="194"/>
      <c r="K176" s="266">
        <f t="shared" si="27"/>
        <v>30000</v>
      </c>
      <c r="L176" s="263">
        <v>8000</v>
      </c>
      <c r="M176" s="74" t="s">
        <v>744</v>
      </c>
      <c r="N176" s="74"/>
      <c r="O176" s="74"/>
      <c r="P176" s="263"/>
      <c r="Q176" s="73"/>
      <c r="R176" s="73"/>
      <c r="S176" s="73"/>
      <c r="T176" s="263">
        <v>11000</v>
      </c>
      <c r="U176" s="73">
        <v>953</v>
      </c>
      <c r="V176" s="73"/>
      <c r="W176" s="73"/>
      <c r="X176" s="263"/>
      <c r="Y176" s="73"/>
      <c r="Z176" s="73"/>
      <c r="AA176" s="74"/>
      <c r="AB176" s="73"/>
      <c r="AC176" s="263"/>
      <c r="AD176" s="263">
        <f t="shared" si="23"/>
        <v>19000</v>
      </c>
      <c r="AE176" s="263">
        <f t="shared" si="24"/>
        <v>-11000</v>
      </c>
      <c r="AF176" s="267"/>
      <c r="AG176" s="238"/>
    </row>
    <row r="177" spans="1:33" s="239" customFormat="1" ht="46.5" customHeight="1" x14ac:dyDescent="0.5">
      <c r="A177" s="233">
        <v>173</v>
      </c>
      <c r="B177" s="263" t="s">
        <v>499</v>
      </c>
      <c r="C177" s="270">
        <f t="shared" si="26"/>
        <v>229</v>
      </c>
      <c r="D177" s="269" t="s">
        <v>380</v>
      </c>
      <c r="E177" s="269" t="s">
        <v>381</v>
      </c>
      <c r="F177" s="188">
        <v>3356953142</v>
      </c>
      <c r="G177" s="187" t="s">
        <v>397</v>
      </c>
      <c r="H177" s="73">
        <v>8000</v>
      </c>
      <c r="I177" s="187">
        <v>22000</v>
      </c>
      <c r="J177" s="190">
        <v>50000</v>
      </c>
      <c r="K177" s="266">
        <f t="shared" si="27"/>
        <v>80000</v>
      </c>
      <c r="L177" s="263">
        <v>8000</v>
      </c>
      <c r="M177" s="74" t="s">
        <v>590</v>
      </c>
      <c r="N177" s="74"/>
      <c r="O177" s="74"/>
      <c r="P177" s="263">
        <v>12000</v>
      </c>
      <c r="Q177" s="73" t="s">
        <v>772</v>
      </c>
      <c r="R177" s="73">
        <v>10000</v>
      </c>
      <c r="S177" s="73"/>
      <c r="T177" s="263">
        <v>10000</v>
      </c>
      <c r="U177" s="73" t="s">
        <v>1001</v>
      </c>
      <c r="V177" s="73"/>
      <c r="W177" s="73"/>
      <c r="X177" s="263"/>
      <c r="Y177" s="73"/>
      <c r="Z177" s="73"/>
      <c r="AA177" s="74"/>
      <c r="AB177" s="73"/>
      <c r="AC177" s="263"/>
      <c r="AD177" s="263">
        <f t="shared" si="23"/>
        <v>40000</v>
      </c>
      <c r="AE177" s="263">
        <f t="shared" si="24"/>
        <v>-40000</v>
      </c>
      <c r="AF177" s="267"/>
      <c r="AG177" s="238"/>
    </row>
    <row r="178" spans="1:33" s="239" customFormat="1" ht="46.5" customHeight="1" x14ac:dyDescent="0.5">
      <c r="A178" s="233">
        <v>174</v>
      </c>
      <c r="B178" s="263" t="s">
        <v>499</v>
      </c>
      <c r="C178" s="268">
        <f t="shared" si="26"/>
        <v>230</v>
      </c>
      <c r="D178" s="269" t="s">
        <v>382</v>
      </c>
      <c r="E178" s="269" t="s">
        <v>372</v>
      </c>
      <c r="F178" s="188">
        <v>3046768906</v>
      </c>
      <c r="G178" s="187" t="s">
        <v>21</v>
      </c>
      <c r="H178" s="73">
        <v>8000</v>
      </c>
      <c r="I178" s="190">
        <v>27000</v>
      </c>
      <c r="J178" s="194"/>
      <c r="K178" s="266">
        <f t="shared" si="27"/>
        <v>35000</v>
      </c>
      <c r="L178" s="263">
        <v>8000</v>
      </c>
      <c r="M178" s="74" t="s">
        <v>547</v>
      </c>
      <c r="N178" s="74"/>
      <c r="O178" s="74"/>
      <c r="P178" s="263">
        <v>35000</v>
      </c>
      <c r="Q178" s="73" t="s">
        <v>910</v>
      </c>
      <c r="R178" s="73"/>
      <c r="S178" s="73"/>
      <c r="T178" s="263"/>
      <c r="U178" s="73"/>
      <c r="V178" s="73"/>
      <c r="W178" s="73"/>
      <c r="X178" s="263"/>
      <c r="Y178" s="73"/>
      <c r="Z178" s="73"/>
      <c r="AA178" s="74"/>
      <c r="AB178" s="73"/>
      <c r="AC178" s="263"/>
      <c r="AD178" s="263">
        <f t="shared" si="23"/>
        <v>43000</v>
      </c>
      <c r="AE178" s="263">
        <f t="shared" si="24"/>
        <v>8000</v>
      </c>
      <c r="AF178" s="267"/>
      <c r="AG178" s="238"/>
    </row>
    <row r="179" spans="1:33" s="34" customFormat="1" ht="46.5" customHeight="1" x14ac:dyDescent="0.35">
      <c r="A179" s="59">
        <v>175</v>
      </c>
      <c r="B179" s="108" t="s">
        <v>499</v>
      </c>
      <c r="C179" s="146">
        <f t="shared" si="26"/>
        <v>231</v>
      </c>
      <c r="D179" s="125" t="s">
        <v>383</v>
      </c>
      <c r="E179" s="125" t="s">
        <v>513</v>
      </c>
      <c r="F179" s="188">
        <v>3217788439</v>
      </c>
      <c r="G179" s="146" t="s">
        <v>139</v>
      </c>
      <c r="H179" s="108">
        <v>8000</v>
      </c>
      <c r="I179" s="195">
        <v>27000</v>
      </c>
      <c r="J179" s="195"/>
      <c r="K179" s="126">
        <f t="shared" si="27"/>
        <v>35000</v>
      </c>
      <c r="L179" s="108">
        <v>8000</v>
      </c>
      <c r="M179" s="109" t="s">
        <v>714</v>
      </c>
      <c r="N179" s="74"/>
      <c r="O179" s="74"/>
      <c r="P179" s="108"/>
      <c r="Q179" s="108"/>
      <c r="R179" s="108"/>
      <c r="S179" s="108"/>
      <c r="T179" s="108">
        <v>15000</v>
      </c>
      <c r="U179" s="108" t="s">
        <v>962</v>
      </c>
      <c r="V179" s="73"/>
      <c r="W179" s="73"/>
      <c r="X179" s="108">
        <v>12000</v>
      </c>
      <c r="Y179" s="108" t="s">
        <v>1067</v>
      </c>
      <c r="Z179" s="73"/>
      <c r="AA179" s="74"/>
      <c r="AB179" s="73"/>
      <c r="AC179" s="108"/>
      <c r="AD179" s="108">
        <f t="shared" si="23"/>
        <v>35000</v>
      </c>
      <c r="AE179" s="108">
        <f t="shared" si="24"/>
        <v>0</v>
      </c>
      <c r="AF179" s="127"/>
      <c r="AG179" s="33"/>
    </row>
    <row r="180" spans="1:33" s="34" customFormat="1" ht="46.5" customHeight="1" x14ac:dyDescent="0.35">
      <c r="A180" s="59">
        <v>176</v>
      </c>
      <c r="B180" s="73" t="s">
        <v>499</v>
      </c>
      <c r="C180" s="187">
        <f t="shared" si="26"/>
        <v>232</v>
      </c>
      <c r="D180" s="192" t="s">
        <v>384</v>
      </c>
      <c r="E180" s="90" t="s">
        <v>262</v>
      </c>
      <c r="F180" s="188">
        <v>3457995484</v>
      </c>
      <c r="G180" s="187" t="s">
        <v>36</v>
      </c>
      <c r="H180" s="73">
        <v>8000</v>
      </c>
      <c r="I180" s="189">
        <v>17000</v>
      </c>
      <c r="J180" s="190">
        <v>50000</v>
      </c>
      <c r="K180" s="186">
        <f t="shared" si="27"/>
        <v>75000</v>
      </c>
      <c r="L180" s="73">
        <v>8000</v>
      </c>
      <c r="M180" s="74" t="s">
        <v>617</v>
      </c>
      <c r="N180" s="74"/>
      <c r="O180" s="74"/>
      <c r="P180" s="73">
        <v>6750</v>
      </c>
      <c r="Q180" s="73" t="s">
        <v>1084</v>
      </c>
      <c r="R180" s="73">
        <v>25000</v>
      </c>
      <c r="S180" s="73"/>
      <c r="T180" s="73">
        <v>6750</v>
      </c>
      <c r="U180" s="73" t="s">
        <v>957</v>
      </c>
      <c r="V180" s="73"/>
      <c r="W180" s="73"/>
      <c r="X180" s="73">
        <v>10250</v>
      </c>
      <c r="Y180" s="73" t="s">
        <v>1085</v>
      </c>
      <c r="Z180" s="73"/>
      <c r="AA180" s="74"/>
      <c r="AB180" s="73"/>
      <c r="AC180" s="73"/>
      <c r="AD180" s="73">
        <f t="shared" si="23"/>
        <v>56750</v>
      </c>
      <c r="AE180" s="73">
        <f t="shared" si="24"/>
        <v>-18250</v>
      </c>
      <c r="AF180" s="75"/>
      <c r="AG180" s="33"/>
    </row>
    <row r="181" spans="1:33" s="34" customFormat="1" ht="46.5" customHeight="1" x14ac:dyDescent="0.35">
      <c r="A181" s="59">
        <v>177</v>
      </c>
      <c r="B181" s="73" t="s">
        <v>499</v>
      </c>
      <c r="C181" s="187">
        <f t="shared" si="26"/>
        <v>233</v>
      </c>
      <c r="D181" s="90" t="s">
        <v>385</v>
      </c>
      <c r="E181" s="90" t="s">
        <v>57</v>
      </c>
      <c r="F181" s="188">
        <v>3007299347</v>
      </c>
      <c r="G181" s="187" t="s">
        <v>139</v>
      </c>
      <c r="H181" s="73">
        <v>8000</v>
      </c>
      <c r="I181" s="187">
        <v>34000</v>
      </c>
      <c r="J181" s="190"/>
      <c r="K181" s="186">
        <f t="shared" si="27"/>
        <v>42000</v>
      </c>
      <c r="L181" s="73">
        <v>8000</v>
      </c>
      <c r="M181" s="74" t="s">
        <v>606</v>
      </c>
      <c r="N181" s="74"/>
      <c r="O181" s="74"/>
      <c r="P181" s="73">
        <v>8000</v>
      </c>
      <c r="Q181" s="73" t="s">
        <v>869</v>
      </c>
      <c r="R181" s="73"/>
      <c r="S181" s="73"/>
      <c r="T181" s="73">
        <v>8670</v>
      </c>
      <c r="U181" s="73">
        <v>954</v>
      </c>
      <c r="V181" s="73"/>
      <c r="W181" s="73"/>
      <c r="X181" s="73">
        <v>9000</v>
      </c>
      <c r="Y181" s="73" t="s">
        <v>1106</v>
      </c>
      <c r="Z181" s="73"/>
      <c r="AA181" s="74"/>
      <c r="AB181" s="73"/>
      <c r="AC181" s="73"/>
      <c r="AD181" s="73">
        <f t="shared" si="23"/>
        <v>33670</v>
      </c>
      <c r="AE181" s="73">
        <f t="shared" si="24"/>
        <v>-8330</v>
      </c>
      <c r="AF181" s="75"/>
      <c r="AG181" s="33"/>
    </row>
    <row r="182" spans="1:33" s="239" customFormat="1" ht="46.5" customHeight="1" x14ac:dyDescent="0.5">
      <c r="A182" s="233">
        <v>178</v>
      </c>
      <c r="B182" s="263" t="s">
        <v>499</v>
      </c>
      <c r="C182" s="270">
        <f t="shared" si="26"/>
        <v>234</v>
      </c>
      <c r="D182" s="271" t="s">
        <v>386</v>
      </c>
      <c r="E182" s="269" t="s">
        <v>387</v>
      </c>
      <c r="F182" s="188">
        <v>3017184396</v>
      </c>
      <c r="G182" s="187" t="s">
        <v>272</v>
      </c>
      <c r="H182" s="73">
        <v>8000</v>
      </c>
      <c r="I182" s="189">
        <v>32000</v>
      </c>
      <c r="J182" s="190"/>
      <c r="K182" s="266">
        <f t="shared" si="27"/>
        <v>40000</v>
      </c>
      <c r="L182" s="263">
        <v>8000</v>
      </c>
      <c r="M182" s="74" t="s">
        <v>645</v>
      </c>
      <c r="N182" s="74"/>
      <c r="O182" s="74"/>
      <c r="P182" s="263"/>
      <c r="Q182" s="73"/>
      <c r="R182" s="73"/>
      <c r="S182" s="73"/>
      <c r="T182" s="263">
        <v>16000</v>
      </c>
      <c r="U182" s="73">
        <v>913</v>
      </c>
      <c r="V182" s="73"/>
      <c r="W182" s="73"/>
      <c r="X182" s="263"/>
      <c r="Y182" s="73"/>
      <c r="Z182" s="73"/>
      <c r="AA182" s="74"/>
      <c r="AB182" s="73"/>
      <c r="AC182" s="263"/>
      <c r="AD182" s="263">
        <f t="shared" si="23"/>
        <v>24000</v>
      </c>
      <c r="AE182" s="263">
        <f t="shared" si="24"/>
        <v>-16000</v>
      </c>
      <c r="AF182" s="267"/>
      <c r="AG182" s="238"/>
    </row>
    <row r="183" spans="1:33" s="239" customFormat="1" ht="46.5" customHeight="1" x14ac:dyDescent="0.5">
      <c r="A183" s="233">
        <v>179</v>
      </c>
      <c r="B183" s="263" t="s">
        <v>499</v>
      </c>
      <c r="C183" s="270">
        <f t="shared" si="26"/>
        <v>235</v>
      </c>
      <c r="D183" s="269" t="s">
        <v>388</v>
      </c>
      <c r="E183" s="269" t="s">
        <v>194</v>
      </c>
      <c r="F183" s="188">
        <v>3047257635</v>
      </c>
      <c r="G183" s="187" t="s">
        <v>21</v>
      </c>
      <c r="H183" s="73">
        <v>8000</v>
      </c>
      <c r="I183" s="187">
        <v>36000</v>
      </c>
      <c r="J183" s="190"/>
      <c r="K183" s="266">
        <f t="shared" si="27"/>
        <v>44000</v>
      </c>
      <c r="L183" s="263">
        <v>8000</v>
      </c>
      <c r="M183" s="74" t="s">
        <v>561</v>
      </c>
      <c r="N183" s="74"/>
      <c r="O183" s="74"/>
      <c r="P183" s="263">
        <v>18000</v>
      </c>
      <c r="Q183" s="73" t="s">
        <v>806</v>
      </c>
      <c r="R183" s="73"/>
      <c r="S183" s="73"/>
      <c r="T183" s="263"/>
      <c r="U183" s="73"/>
      <c r="V183" s="73"/>
      <c r="W183" s="73"/>
      <c r="X183" s="263"/>
      <c r="Y183" s="73"/>
      <c r="Z183" s="73"/>
      <c r="AA183" s="74"/>
      <c r="AB183" s="73"/>
      <c r="AC183" s="263"/>
      <c r="AD183" s="263">
        <f t="shared" si="23"/>
        <v>26000</v>
      </c>
      <c r="AE183" s="263">
        <f t="shared" si="24"/>
        <v>-18000</v>
      </c>
      <c r="AF183" s="267"/>
      <c r="AG183" s="238"/>
    </row>
    <row r="184" spans="1:33" s="239" customFormat="1" ht="46.5" customHeight="1" x14ac:dyDescent="0.5">
      <c r="A184" s="233">
        <v>180</v>
      </c>
      <c r="B184" s="263" t="s">
        <v>499</v>
      </c>
      <c r="C184" s="270">
        <f t="shared" si="26"/>
        <v>236</v>
      </c>
      <c r="D184" s="269" t="s">
        <v>389</v>
      </c>
      <c r="E184" s="269" t="s">
        <v>198</v>
      </c>
      <c r="F184" s="188">
        <v>3336233066</v>
      </c>
      <c r="G184" s="187" t="s">
        <v>141</v>
      </c>
      <c r="H184" s="73">
        <v>8000</v>
      </c>
      <c r="I184" s="187">
        <v>22000</v>
      </c>
      <c r="J184" s="190">
        <v>50000</v>
      </c>
      <c r="K184" s="266">
        <f t="shared" si="27"/>
        <v>80000</v>
      </c>
      <c r="L184" s="263">
        <v>8000</v>
      </c>
      <c r="M184" s="74" t="s">
        <v>611</v>
      </c>
      <c r="N184" s="74"/>
      <c r="O184" s="74"/>
      <c r="P184" s="263">
        <v>12000</v>
      </c>
      <c r="Q184" s="73" t="s">
        <v>779</v>
      </c>
      <c r="R184" s="73">
        <v>20000</v>
      </c>
      <c r="S184" s="73"/>
      <c r="T184" s="263"/>
      <c r="U184" s="73"/>
      <c r="V184" s="73"/>
      <c r="W184" s="73"/>
      <c r="X184" s="263"/>
      <c r="Y184" s="73"/>
      <c r="Z184" s="73"/>
      <c r="AA184" s="74"/>
      <c r="AB184" s="73"/>
      <c r="AC184" s="263"/>
      <c r="AD184" s="263">
        <f t="shared" si="23"/>
        <v>40000</v>
      </c>
      <c r="AE184" s="263">
        <f t="shared" si="24"/>
        <v>-40000</v>
      </c>
      <c r="AF184" s="267"/>
      <c r="AG184" s="238"/>
    </row>
    <row r="185" spans="1:33" s="239" customFormat="1" ht="46.5" customHeight="1" x14ac:dyDescent="0.5">
      <c r="A185" s="233">
        <v>181</v>
      </c>
      <c r="B185" s="263" t="s">
        <v>499</v>
      </c>
      <c r="C185" s="270">
        <f t="shared" si="26"/>
        <v>237</v>
      </c>
      <c r="D185" s="273" t="s">
        <v>390</v>
      </c>
      <c r="E185" s="269" t="s">
        <v>342</v>
      </c>
      <c r="F185" s="188">
        <v>3154584452</v>
      </c>
      <c r="G185" s="193" t="s">
        <v>141</v>
      </c>
      <c r="H185" s="73">
        <v>8000</v>
      </c>
      <c r="I185" s="189">
        <v>22000</v>
      </c>
      <c r="J185" s="190">
        <v>50000</v>
      </c>
      <c r="K185" s="266">
        <f t="shared" si="27"/>
        <v>80000</v>
      </c>
      <c r="L185" s="263">
        <v>8000</v>
      </c>
      <c r="M185" s="74" t="s">
        <v>633</v>
      </c>
      <c r="N185" s="74"/>
      <c r="O185" s="74"/>
      <c r="P185" s="263">
        <v>5000</v>
      </c>
      <c r="Q185" s="73" t="s">
        <v>1043</v>
      </c>
      <c r="R185" s="73"/>
      <c r="S185" s="73"/>
      <c r="T185" s="263">
        <v>10000</v>
      </c>
      <c r="U185" s="73" t="s">
        <v>1169</v>
      </c>
      <c r="V185" s="73"/>
      <c r="W185" s="73"/>
      <c r="X185" s="263"/>
      <c r="Y185" s="73"/>
      <c r="Z185" s="73"/>
      <c r="AA185" s="74"/>
      <c r="AB185" s="73"/>
      <c r="AC185" s="263"/>
      <c r="AD185" s="263">
        <f t="shared" si="23"/>
        <v>23000</v>
      </c>
      <c r="AE185" s="263">
        <f t="shared" si="24"/>
        <v>-57000</v>
      </c>
      <c r="AF185" s="267"/>
      <c r="AG185" s="238"/>
    </row>
    <row r="186" spans="1:33" s="239" customFormat="1" ht="46.5" customHeight="1" x14ac:dyDescent="0.5">
      <c r="A186" s="233">
        <v>182</v>
      </c>
      <c r="B186" s="263" t="s">
        <v>499</v>
      </c>
      <c r="C186" s="268">
        <f t="shared" si="26"/>
        <v>238</v>
      </c>
      <c r="D186" s="269" t="s">
        <v>391</v>
      </c>
      <c r="E186" s="269" t="s">
        <v>392</v>
      </c>
      <c r="F186" s="188">
        <v>3367277276</v>
      </c>
      <c r="G186" s="187" t="s">
        <v>139</v>
      </c>
      <c r="H186" s="73">
        <v>8000</v>
      </c>
      <c r="I186" s="187">
        <v>42000</v>
      </c>
      <c r="J186" s="190"/>
      <c r="K186" s="266">
        <f t="shared" ref="K186:K217" si="28">I186+J186+H186</f>
        <v>50000</v>
      </c>
      <c r="L186" s="263">
        <v>8000</v>
      </c>
      <c r="M186" s="74" t="s">
        <v>578</v>
      </c>
      <c r="N186" s="74"/>
      <c r="O186" s="74"/>
      <c r="P186" s="263"/>
      <c r="Q186" s="73"/>
      <c r="R186" s="73"/>
      <c r="S186" s="73"/>
      <c r="T186" s="263"/>
      <c r="U186" s="73"/>
      <c r="V186" s="73"/>
      <c r="W186" s="73"/>
      <c r="X186" s="263"/>
      <c r="Y186" s="73"/>
      <c r="Z186" s="73"/>
      <c r="AA186" s="74"/>
      <c r="AB186" s="73"/>
      <c r="AC186" s="263"/>
      <c r="AD186" s="263">
        <f t="shared" si="23"/>
        <v>8000</v>
      </c>
      <c r="AE186" s="263">
        <f t="shared" si="24"/>
        <v>-42000</v>
      </c>
      <c r="AF186" s="267"/>
      <c r="AG186" s="238"/>
    </row>
    <row r="187" spans="1:33" s="239" customFormat="1" ht="46.5" customHeight="1" x14ac:dyDescent="0.5">
      <c r="A187" s="233">
        <v>183</v>
      </c>
      <c r="B187" s="234" t="s">
        <v>499</v>
      </c>
      <c r="C187" s="244">
        <f t="shared" si="26"/>
        <v>239</v>
      </c>
      <c r="D187" s="236" t="s">
        <v>393</v>
      </c>
      <c r="E187" s="236" t="s">
        <v>354</v>
      </c>
      <c r="F187" s="145">
        <v>3458679606</v>
      </c>
      <c r="G187" s="146" t="s">
        <v>36</v>
      </c>
      <c r="H187" s="108">
        <v>8000</v>
      </c>
      <c r="I187" s="146">
        <v>22000</v>
      </c>
      <c r="J187" s="169">
        <v>50000</v>
      </c>
      <c r="K187" s="237">
        <f t="shared" si="28"/>
        <v>80000</v>
      </c>
      <c r="L187" s="234">
        <v>8000</v>
      </c>
      <c r="M187" s="109" t="s">
        <v>573</v>
      </c>
      <c r="N187" s="109"/>
      <c r="O187" s="109"/>
      <c r="P187" s="234">
        <v>32000</v>
      </c>
      <c r="Q187" s="108" t="s">
        <v>918</v>
      </c>
      <c r="R187" s="108">
        <v>40000</v>
      </c>
      <c r="S187" s="108"/>
      <c r="T187" s="234"/>
      <c r="U187" s="108"/>
      <c r="V187" s="108"/>
      <c r="W187" s="108"/>
      <c r="X187" s="234"/>
      <c r="Y187" s="108"/>
      <c r="Z187" s="108"/>
      <c r="AA187" s="109"/>
      <c r="AB187" s="108"/>
      <c r="AC187" s="234"/>
      <c r="AD187" s="234">
        <f t="shared" si="23"/>
        <v>80000</v>
      </c>
      <c r="AE187" s="234">
        <f t="shared" si="24"/>
        <v>0</v>
      </c>
      <c r="AF187" s="240"/>
      <c r="AG187" s="238"/>
    </row>
    <row r="188" spans="1:33" s="239" customFormat="1" ht="46.5" customHeight="1" thickBot="1" x14ac:dyDescent="0.55000000000000004">
      <c r="A188" s="233">
        <v>184</v>
      </c>
      <c r="B188" s="263" t="s">
        <v>499</v>
      </c>
      <c r="C188" s="274">
        <f t="shared" si="26"/>
        <v>240</v>
      </c>
      <c r="D188" s="275" t="s">
        <v>394</v>
      </c>
      <c r="E188" s="275" t="s">
        <v>110</v>
      </c>
      <c r="F188" s="196">
        <v>3007987659</v>
      </c>
      <c r="G188" s="197" t="s">
        <v>139</v>
      </c>
      <c r="H188" s="73">
        <v>8000</v>
      </c>
      <c r="I188" s="198">
        <v>32000</v>
      </c>
      <c r="J188" s="198"/>
      <c r="K188" s="266">
        <f t="shared" si="28"/>
        <v>40000</v>
      </c>
      <c r="L188" s="263"/>
      <c r="M188" s="74"/>
      <c r="N188" s="74"/>
      <c r="O188" s="74"/>
      <c r="P188" s="263"/>
      <c r="Q188" s="73"/>
      <c r="R188" s="73"/>
      <c r="S188" s="73"/>
      <c r="T188" s="263"/>
      <c r="U188" s="73"/>
      <c r="V188" s="73"/>
      <c r="W188" s="73"/>
      <c r="X188" s="263"/>
      <c r="Y188" s="73"/>
      <c r="Z188" s="73"/>
      <c r="AA188" s="74"/>
      <c r="AB188" s="73"/>
      <c r="AC188" s="263"/>
      <c r="AD188" s="263">
        <f t="shared" si="23"/>
        <v>0</v>
      </c>
      <c r="AE188" s="263">
        <f t="shared" si="24"/>
        <v>-40000</v>
      </c>
      <c r="AF188" s="267"/>
      <c r="AG188" s="238"/>
    </row>
    <row r="189" spans="1:33" s="364" customFormat="1" ht="41.25" customHeight="1" x14ac:dyDescent="0.55000000000000004">
      <c r="A189" s="341">
        <v>185</v>
      </c>
      <c r="B189" s="342" t="s">
        <v>500</v>
      </c>
      <c r="C189" s="343">
        <v>244</v>
      </c>
      <c r="D189" s="344" t="s">
        <v>398</v>
      </c>
      <c r="E189" s="345" t="s">
        <v>253</v>
      </c>
      <c r="F189" s="199">
        <v>3457996484</v>
      </c>
      <c r="G189" s="200" t="s">
        <v>309</v>
      </c>
      <c r="H189" s="80">
        <v>8000</v>
      </c>
      <c r="I189" s="200">
        <v>32000</v>
      </c>
      <c r="J189" s="356"/>
      <c r="K189" s="357">
        <f t="shared" si="28"/>
        <v>40000</v>
      </c>
      <c r="L189" s="342">
        <v>8000</v>
      </c>
      <c r="M189" s="81" t="s">
        <v>655</v>
      </c>
      <c r="N189" s="81"/>
      <c r="O189" s="81"/>
      <c r="P189" s="342">
        <v>8000</v>
      </c>
      <c r="Q189" s="80" t="s">
        <v>789</v>
      </c>
      <c r="R189" s="80"/>
      <c r="S189" s="80"/>
      <c r="T189" s="342">
        <v>8000</v>
      </c>
      <c r="U189" s="80" t="s">
        <v>987</v>
      </c>
      <c r="V189" s="80"/>
      <c r="W189" s="80"/>
      <c r="X189" s="342">
        <v>9000</v>
      </c>
      <c r="Y189" s="80" t="s">
        <v>1093</v>
      </c>
      <c r="Z189" s="80"/>
      <c r="AA189" s="81"/>
      <c r="AB189" s="80"/>
      <c r="AC189" s="342"/>
      <c r="AD189" s="342">
        <f t="shared" si="23"/>
        <v>33000</v>
      </c>
      <c r="AE189" s="342">
        <f t="shared" si="24"/>
        <v>-7000</v>
      </c>
      <c r="AF189" s="362"/>
      <c r="AG189" s="363"/>
    </row>
    <row r="190" spans="1:33" s="364" customFormat="1" ht="41.25" customHeight="1" x14ac:dyDescent="0.55000000000000004">
      <c r="A190" s="341">
        <v>186</v>
      </c>
      <c r="B190" s="342" t="s">
        <v>500</v>
      </c>
      <c r="C190" s="346">
        <f>C189+1</f>
        <v>245</v>
      </c>
      <c r="D190" s="347" t="s">
        <v>399</v>
      </c>
      <c r="E190" s="347" t="s">
        <v>223</v>
      </c>
      <c r="F190" s="201">
        <v>3076027826</v>
      </c>
      <c r="G190" s="202" t="s">
        <v>139</v>
      </c>
      <c r="H190" s="80">
        <v>8000</v>
      </c>
      <c r="I190" s="202">
        <v>32000</v>
      </c>
      <c r="J190" s="358"/>
      <c r="K190" s="357">
        <f t="shared" si="28"/>
        <v>40000</v>
      </c>
      <c r="L190" s="342">
        <v>8000</v>
      </c>
      <c r="M190" s="81" t="s">
        <v>641</v>
      </c>
      <c r="N190" s="81"/>
      <c r="O190" s="81"/>
      <c r="P190" s="342">
        <v>7000</v>
      </c>
      <c r="Q190" s="80" t="s">
        <v>785</v>
      </c>
      <c r="R190" s="80"/>
      <c r="S190" s="80"/>
      <c r="T190" s="342">
        <v>8500</v>
      </c>
      <c r="U190" s="80" t="s">
        <v>985</v>
      </c>
      <c r="V190" s="80"/>
      <c r="W190" s="80"/>
      <c r="X190" s="342">
        <v>8500</v>
      </c>
      <c r="Y190" s="80" t="s">
        <v>1152</v>
      </c>
      <c r="Z190" s="80"/>
      <c r="AA190" s="81"/>
      <c r="AB190" s="80"/>
      <c r="AC190" s="342"/>
      <c r="AD190" s="342">
        <f t="shared" si="23"/>
        <v>32000</v>
      </c>
      <c r="AE190" s="342">
        <f t="shared" si="24"/>
        <v>-8000</v>
      </c>
      <c r="AF190" s="362"/>
      <c r="AG190" s="363"/>
    </row>
    <row r="191" spans="1:33" s="364" customFormat="1" ht="41.25" customHeight="1" x14ac:dyDescent="0.55000000000000004">
      <c r="A191" s="341">
        <v>187</v>
      </c>
      <c r="B191" s="342" t="s">
        <v>500</v>
      </c>
      <c r="C191" s="348">
        <f t="shared" ref="C191:C222" si="29">C190+1</f>
        <v>246</v>
      </c>
      <c r="D191" s="347" t="s">
        <v>400</v>
      </c>
      <c r="E191" s="347" t="s">
        <v>401</v>
      </c>
      <c r="F191" s="201">
        <v>3099379500</v>
      </c>
      <c r="G191" s="202" t="s">
        <v>18</v>
      </c>
      <c r="H191" s="80">
        <v>8000</v>
      </c>
      <c r="I191" s="202">
        <v>40000</v>
      </c>
      <c r="J191" s="358"/>
      <c r="K191" s="357">
        <f t="shared" si="28"/>
        <v>48000</v>
      </c>
      <c r="L191" s="342">
        <v>8000</v>
      </c>
      <c r="M191" s="81" t="s">
        <v>771</v>
      </c>
      <c r="N191" s="81"/>
      <c r="O191" s="81"/>
      <c r="P191" s="342"/>
      <c r="Q191" s="80"/>
      <c r="R191" s="80"/>
      <c r="S191" s="80"/>
      <c r="T191" s="342">
        <v>20000</v>
      </c>
      <c r="U191" s="80" t="s">
        <v>1061</v>
      </c>
      <c r="V191" s="80"/>
      <c r="W191" s="80"/>
      <c r="X191" s="342"/>
      <c r="Y191" s="80"/>
      <c r="Z191" s="80"/>
      <c r="AA191" s="81"/>
      <c r="AB191" s="80"/>
      <c r="AC191" s="342"/>
      <c r="AD191" s="342">
        <f t="shared" si="23"/>
        <v>28000</v>
      </c>
      <c r="AE191" s="342">
        <f t="shared" si="24"/>
        <v>-20000</v>
      </c>
      <c r="AF191" s="362"/>
      <c r="AG191" s="363"/>
    </row>
    <row r="192" spans="1:33" s="364" customFormat="1" ht="41.25" customHeight="1" x14ac:dyDescent="0.55000000000000004">
      <c r="A192" s="341">
        <v>188</v>
      </c>
      <c r="B192" s="342" t="s">
        <v>500</v>
      </c>
      <c r="C192" s="346">
        <f t="shared" si="29"/>
        <v>247</v>
      </c>
      <c r="D192" s="347" t="s">
        <v>402</v>
      </c>
      <c r="E192" s="347" t="s">
        <v>403</v>
      </c>
      <c r="F192" s="201">
        <v>3020652808</v>
      </c>
      <c r="G192" s="202" t="s">
        <v>139</v>
      </c>
      <c r="H192" s="80">
        <v>8000</v>
      </c>
      <c r="I192" s="202">
        <v>27000</v>
      </c>
      <c r="J192" s="358"/>
      <c r="K192" s="357">
        <f t="shared" si="28"/>
        <v>35000</v>
      </c>
      <c r="L192" s="342">
        <v>8000</v>
      </c>
      <c r="M192" s="81" t="s">
        <v>757</v>
      </c>
      <c r="N192" s="81"/>
      <c r="O192" s="81"/>
      <c r="P192" s="342">
        <v>22000</v>
      </c>
      <c r="Q192" s="80" t="s">
        <v>804</v>
      </c>
      <c r="R192" s="80"/>
      <c r="S192" s="80"/>
      <c r="T192" s="342"/>
      <c r="U192" s="80"/>
      <c r="V192" s="80"/>
      <c r="W192" s="80"/>
      <c r="X192" s="342"/>
      <c r="Y192" s="80"/>
      <c r="Z192" s="80"/>
      <c r="AA192" s="81"/>
      <c r="AB192" s="80"/>
      <c r="AC192" s="342"/>
      <c r="AD192" s="342">
        <f t="shared" si="23"/>
        <v>30000</v>
      </c>
      <c r="AE192" s="342">
        <f t="shared" si="24"/>
        <v>-5000</v>
      </c>
      <c r="AF192" s="362"/>
      <c r="AG192" s="363"/>
    </row>
    <row r="193" spans="1:35" s="364" customFormat="1" ht="41.25" customHeight="1" x14ac:dyDescent="0.55000000000000004">
      <c r="A193" s="341">
        <v>189</v>
      </c>
      <c r="B193" s="342" t="s">
        <v>500</v>
      </c>
      <c r="C193" s="346">
        <f t="shared" si="29"/>
        <v>248</v>
      </c>
      <c r="D193" s="347" t="s">
        <v>454</v>
      </c>
      <c r="E193" s="347" t="s">
        <v>228</v>
      </c>
      <c r="F193" s="201">
        <v>3460459456</v>
      </c>
      <c r="G193" s="202" t="s">
        <v>455</v>
      </c>
      <c r="H193" s="80">
        <v>8000</v>
      </c>
      <c r="I193" s="202">
        <v>22000</v>
      </c>
      <c r="J193" s="358">
        <v>50000</v>
      </c>
      <c r="K193" s="357">
        <f t="shared" si="28"/>
        <v>80000</v>
      </c>
      <c r="L193" s="342">
        <v>8000</v>
      </c>
      <c r="M193" s="81" t="s">
        <v>704</v>
      </c>
      <c r="N193" s="81"/>
      <c r="O193" s="81"/>
      <c r="P193" s="342">
        <v>10000</v>
      </c>
      <c r="Q193" s="80" t="s">
        <v>905</v>
      </c>
      <c r="R193" s="80">
        <v>15000</v>
      </c>
      <c r="S193" s="80"/>
      <c r="T193" s="342">
        <v>7000</v>
      </c>
      <c r="U193" s="80" t="s">
        <v>926</v>
      </c>
      <c r="V193" s="80"/>
      <c r="W193" s="80"/>
      <c r="X193" s="342"/>
      <c r="Y193" s="80"/>
      <c r="Z193" s="80"/>
      <c r="AA193" s="81"/>
      <c r="AB193" s="80"/>
      <c r="AC193" s="342"/>
      <c r="AD193" s="342">
        <f t="shared" si="23"/>
        <v>40000</v>
      </c>
      <c r="AE193" s="342">
        <f t="shared" si="24"/>
        <v>-40000</v>
      </c>
      <c r="AF193" s="362"/>
      <c r="AG193" s="363"/>
    </row>
    <row r="194" spans="1:35" s="364" customFormat="1" ht="41.25" customHeight="1" x14ac:dyDescent="0.55000000000000004">
      <c r="A194" s="341">
        <v>190</v>
      </c>
      <c r="B194" s="342" t="s">
        <v>500</v>
      </c>
      <c r="C194" s="348">
        <f t="shared" si="29"/>
        <v>249</v>
      </c>
      <c r="D194" s="347" t="s">
        <v>404</v>
      </c>
      <c r="E194" s="347" t="s">
        <v>405</v>
      </c>
      <c r="F194" s="201">
        <v>3062537723</v>
      </c>
      <c r="G194" s="202" t="s">
        <v>24</v>
      </c>
      <c r="H194" s="80">
        <v>8000</v>
      </c>
      <c r="I194" s="202">
        <v>22000</v>
      </c>
      <c r="J194" s="358">
        <v>55000</v>
      </c>
      <c r="K194" s="357">
        <f t="shared" si="28"/>
        <v>85000</v>
      </c>
      <c r="L194" s="342">
        <v>8000</v>
      </c>
      <c r="M194" s="81" t="s">
        <v>730</v>
      </c>
      <c r="N194" s="81"/>
      <c r="O194" s="81"/>
      <c r="P194" s="342">
        <v>8000</v>
      </c>
      <c r="Q194" s="80" t="s">
        <v>839</v>
      </c>
      <c r="R194" s="80"/>
      <c r="S194" s="80"/>
      <c r="T194" s="342"/>
      <c r="U194" s="80"/>
      <c r="V194" s="80"/>
      <c r="W194" s="80"/>
      <c r="X194" s="342"/>
      <c r="Y194" s="80"/>
      <c r="Z194" s="80"/>
      <c r="AA194" s="81"/>
      <c r="AB194" s="80"/>
      <c r="AC194" s="342"/>
      <c r="AD194" s="342">
        <f t="shared" si="23"/>
        <v>16000</v>
      </c>
      <c r="AE194" s="342">
        <f t="shared" si="24"/>
        <v>-69000</v>
      </c>
      <c r="AF194" s="362"/>
      <c r="AG194" s="363"/>
    </row>
    <row r="195" spans="1:35" s="364" customFormat="1" ht="41.25" customHeight="1" x14ac:dyDescent="0.55000000000000004">
      <c r="A195" s="341">
        <v>191</v>
      </c>
      <c r="B195" s="349" t="s">
        <v>500</v>
      </c>
      <c r="C195" s="350">
        <f t="shared" si="29"/>
        <v>250</v>
      </c>
      <c r="D195" s="351" t="s">
        <v>406</v>
      </c>
      <c r="E195" s="352" t="s">
        <v>407</v>
      </c>
      <c r="F195" s="201">
        <v>3336692142</v>
      </c>
      <c r="G195" s="202" t="s">
        <v>139</v>
      </c>
      <c r="H195" s="108">
        <v>8000</v>
      </c>
      <c r="I195" s="146">
        <v>22000</v>
      </c>
      <c r="J195" s="359"/>
      <c r="K195" s="360">
        <f t="shared" si="28"/>
        <v>30000</v>
      </c>
      <c r="L195" s="349">
        <v>8000</v>
      </c>
      <c r="M195" s="81" t="s">
        <v>698</v>
      </c>
      <c r="N195" s="81"/>
      <c r="O195" s="81"/>
      <c r="P195" s="349">
        <v>22000</v>
      </c>
      <c r="Q195" s="80" t="s">
        <v>799</v>
      </c>
      <c r="R195" s="80"/>
      <c r="S195" s="80"/>
      <c r="T195" s="349"/>
      <c r="U195" s="80"/>
      <c r="V195" s="80"/>
      <c r="W195" s="80"/>
      <c r="X195" s="349"/>
      <c r="Y195" s="108"/>
      <c r="Z195" s="80"/>
      <c r="AA195" s="81"/>
      <c r="AB195" s="80"/>
      <c r="AC195" s="349"/>
      <c r="AD195" s="349">
        <f t="shared" ref="AD195:AD258" si="30">L195+P195+T195+X195+AB195+N195+R195+V195+Z195</f>
        <v>30000</v>
      </c>
      <c r="AE195" s="349">
        <f t="shared" ref="AE195:AE258" si="31">AD195-K195</f>
        <v>0</v>
      </c>
      <c r="AF195" s="365"/>
      <c r="AG195" s="363"/>
    </row>
    <row r="196" spans="1:35" s="364" customFormat="1" ht="41.25" customHeight="1" x14ac:dyDescent="0.55000000000000004">
      <c r="A196" s="341">
        <v>192</v>
      </c>
      <c r="B196" s="342" t="s">
        <v>500</v>
      </c>
      <c r="C196" s="346">
        <f t="shared" si="29"/>
        <v>251</v>
      </c>
      <c r="D196" s="347" t="s">
        <v>408</v>
      </c>
      <c r="E196" s="347" t="s">
        <v>409</v>
      </c>
      <c r="F196" s="201">
        <v>3012751386</v>
      </c>
      <c r="G196" s="202" t="s">
        <v>410</v>
      </c>
      <c r="H196" s="80">
        <v>8000</v>
      </c>
      <c r="I196" s="202">
        <v>35000</v>
      </c>
      <c r="J196" s="358"/>
      <c r="K196" s="357">
        <f t="shared" si="28"/>
        <v>43000</v>
      </c>
      <c r="L196" s="342">
        <v>8000</v>
      </c>
      <c r="M196" s="81" t="s">
        <v>646</v>
      </c>
      <c r="N196" s="81"/>
      <c r="O196" s="81"/>
      <c r="P196" s="342"/>
      <c r="Q196" s="80"/>
      <c r="R196" s="80"/>
      <c r="S196" s="80"/>
      <c r="T196" s="342">
        <v>17500</v>
      </c>
      <c r="U196" s="80" t="s">
        <v>976</v>
      </c>
      <c r="V196" s="80"/>
      <c r="W196" s="80"/>
      <c r="X196" s="342"/>
      <c r="Y196" s="80"/>
      <c r="Z196" s="80"/>
      <c r="AA196" s="81"/>
      <c r="AB196" s="80"/>
      <c r="AC196" s="342"/>
      <c r="AD196" s="342">
        <f t="shared" si="30"/>
        <v>25500</v>
      </c>
      <c r="AE196" s="342">
        <f t="shared" si="31"/>
        <v>-17500</v>
      </c>
      <c r="AF196" s="362"/>
      <c r="AG196" s="363"/>
    </row>
    <row r="197" spans="1:35" s="364" customFormat="1" ht="41.25" customHeight="1" x14ac:dyDescent="0.55000000000000004">
      <c r="A197" s="341">
        <v>193</v>
      </c>
      <c r="B197" s="342" t="s">
        <v>500</v>
      </c>
      <c r="C197" s="348">
        <f t="shared" si="29"/>
        <v>252</v>
      </c>
      <c r="D197" s="347" t="s">
        <v>411</v>
      </c>
      <c r="E197" s="347" t="s">
        <v>186</v>
      </c>
      <c r="F197" s="201">
        <v>3276247302</v>
      </c>
      <c r="G197" s="202" t="s">
        <v>24</v>
      </c>
      <c r="H197" s="80">
        <v>8000</v>
      </c>
      <c r="I197" s="202">
        <v>17000</v>
      </c>
      <c r="J197" s="358">
        <v>50000</v>
      </c>
      <c r="K197" s="357">
        <f t="shared" si="28"/>
        <v>75000</v>
      </c>
      <c r="L197" s="342">
        <v>8000</v>
      </c>
      <c r="M197" s="81" t="s">
        <v>621</v>
      </c>
      <c r="N197" s="81"/>
      <c r="O197" s="81"/>
      <c r="P197" s="342">
        <f>15000</f>
        <v>15000</v>
      </c>
      <c r="Q197" s="80" t="s">
        <v>1044</v>
      </c>
      <c r="R197" s="80">
        <v>10000</v>
      </c>
      <c r="S197" s="80" t="s">
        <v>1029</v>
      </c>
      <c r="T197" s="342"/>
      <c r="U197" s="80"/>
      <c r="V197" s="80"/>
      <c r="W197" s="80"/>
      <c r="X197" s="342"/>
      <c r="Y197" s="80"/>
      <c r="Z197" s="80"/>
      <c r="AA197" s="81"/>
      <c r="AB197" s="80"/>
      <c r="AC197" s="342"/>
      <c r="AD197" s="342">
        <f t="shared" si="30"/>
        <v>33000</v>
      </c>
      <c r="AE197" s="342">
        <f t="shared" si="31"/>
        <v>-42000</v>
      </c>
      <c r="AF197" s="362"/>
      <c r="AG197" s="363"/>
    </row>
    <row r="198" spans="1:35" s="364" customFormat="1" ht="41.25" customHeight="1" x14ac:dyDescent="0.55000000000000004">
      <c r="A198" s="341">
        <v>194</v>
      </c>
      <c r="B198" s="342" t="s">
        <v>500</v>
      </c>
      <c r="C198" s="346">
        <f t="shared" si="29"/>
        <v>253</v>
      </c>
      <c r="D198" s="347" t="s">
        <v>412</v>
      </c>
      <c r="E198" s="347" t="s">
        <v>413</v>
      </c>
      <c r="F198" s="201">
        <v>3008045852</v>
      </c>
      <c r="G198" s="202" t="s">
        <v>20</v>
      </c>
      <c r="H198" s="80">
        <v>8000</v>
      </c>
      <c r="I198" s="202">
        <v>10000</v>
      </c>
      <c r="J198" s="358"/>
      <c r="K198" s="357">
        <f t="shared" si="28"/>
        <v>18000</v>
      </c>
      <c r="L198" s="342">
        <v>8000</v>
      </c>
      <c r="M198" s="81" t="s">
        <v>715</v>
      </c>
      <c r="N198" s="81"/>
      <c r="O198" s="81"/>
      <c r="P198" s="342"/>
      <c r="Q198" s="80"/>
      <c r="R198" s="80"/>
      <c r="S198" s="80"/>
      <c r="T198" s="342">
        <v>5000</v>
      </c>
      <c r="U198" s="80" t="s">
        <v>983</v>
      </c>
      <c r="V198" s="80"/>
      <c r="W198" s="80"/>
      <c r="X198" s="342"/>
      <c r="Y198" s="80"/>
      <c r="Z198" s="80"/>
      <c r="AA198" s="81"/>
      <c r="AB198" s="80"/>
      <c r="AC198" s="342"/>
      <c r="AD198" s="342">
        <f t="shared" si="30"/>
        <v>13000</v>
      </c>
      <c r="AE198" s="342">
        <f t="shared" si="31"/>
        <v>-5000</v>
      </c>
      <c r="AF198" s="362"/>
      <c r="AG198" s="363"/>
    </row>
    <row r="199" spans="1:35" s="364" customFormat="1" ht="41.25" customHeight="1" x14ac:dyDescent="0.55000000000000004">
      <c r="A199" s="341">
        <v>195</v>
      </c>
      <c r="B199" s="349" t="s">
        <v>500</v>
      </c>
      <c r="C199" s="350">
        <f t="shared" si="29"/>
        <v>254</v>
      </c>
      <c r="D199" s="351" t="s">
        <v>414</v>
      </c>
      <c r="E199" s="352" t="s">
        <v>415</v>
      </c>
      <c r="F199" s="201">
        <v>3437196340</v>
      </c>
      <c r="G199" s="202" t="s">
        <v>416</v>
      </c>
      <c r="H199" s="108">
        <v>8000</v>
      </c>
      <c r="I199" s="146">
        <v>32000</v>
      </c>
      <c r="J199" s="359"/>
      <c r="K199" s="360">
        <f t="shared" si="28"/>
        <v>40000</v>
      </c>
      <c r="L199" s="349">
        <v>8000</v>
      </c>
      <c r="M199" s="81" t="s">
        <v>684</v>
      </c>
      <c r="N199" s="81"/>
      <c r="O199" s="81"/>
      <c r="P199" s="349"/>
      <c r="Q199" s="80"/>
      <c r="R199" s="80"/>
      <c r="S199" s="80"/>
      <c r="T199" s="349">
        <v>16000</v>
      </c>
      <c r="U199" s="80" t="s">
        <v>953</v>
      </c>
      <c r="V199" s="80"/>
      <c r="W199" s="80"/>
      <c r="X199" s="349">
        <v>16000</v>
      </c>
      <c r="Y199" s="108" t="s">
        <v>1150</v>
      </c>
      <c r="Z199" s="80"/>
      <c r="AA199" s="81"/>
      <c r="AB199" s="80"/>
      <c r="AC199" s="349"/>
      <c r="AD199" s="349">
        <f t="shared" si="30"/>
        <v>40000</v>
      </c>
      <c r="AE199" s="349">
        <f t="shared" si="31"/>
        <v>0</v>
      </c>
      <c r="AF199" s="365"/>
      <c r="AG199" s="363"/>
    </row>
    <row r="200" spans="1:35" s="364" customFormat="1" ht="41.25" customHeight="1" x14ac:dyDescent="0.55000000000000004">
      <c r="A200" s="341">
        <v>196</v>
      </c>
      <c r="B200" s="342" t="s">
        <v>500</v>
      </c>
      <c r="C200" s="346">
        <f t="shared" si="29"/>
        <v>255</v>
      </c>
      <c r="D200" s="347" t="s">
        <v>417</v>
      </c>
      <c r="E200" s="347" t="s">
        <v>234</v>
      </c>
      <c r="F200" s="201">
        <v>3015448974</v>
      </c>
      <c r="G200" s="202" t="s">
        <v>40</v>
      </c>
      <c r="H200" s="80">
        <v>8000</v>
      </c>
      <c r="I200" s="202">
        <v>32000</v>
      </c>
      <c r="J200" s="358"/>
      <c r="K200" s="357">
        <f t="shared" si="28"/>
        <v>40000</v>
      </c>
      <c r="L200" s="342">
        <v>3000</v>
      </c>
      <c r="M200" s="81" t="s">
        <v>688</v>
      </c>
      <c r="N200" s="81"/>
      <c r="O200" s="81"/>
      <c r="P200" s="342">
        <v>8000</v>
      </c>
      <c r="Q200" s="80" t="s">
        <v>886</v>
      </c>
      <c r="R200" s="80"/>
      <c r="S200" s="80"/>
      <c r="T200" s="342">
        <v>10000</v>
      </c>
      <c r="U200" s="80">
        <v>957</v>
      </c>
      <c r="V200" s="80"/>
      <c r="W200" s="80"/>
      <c r="X200" s="342"/>
      <c r="Y200" s="80"/>
      <c r="Z200" s="80"/>
      <c r="AA200" s="81"/>
      <c r="AB200" s="80"/>
      <c r="AC200" s="342"/>
      <c r="AD200" s="342">
        <f t="shared" si="30"/>
        <v>21000</v>
      </c>
      <c r="AE200" s="342">
        <f t="shared" si="31"/>
        <v>-19000</v>
      </c>
      <c r="AF200" s="362"/>
      <c r="AG200" s="363"/>
    </row>
    <row r="201" spans="1:35" s="364" customFormat="1" ht="41.25" customHeight="1" x14ac:dyDescent="0.55000000000000004">
      <c r="A201" s="341">
        <v>197</v>
      </c>
      <c r="B201" s="342" t="s">
        <v>500</v>
      </c>
      <c r="C201" s="346">
        <f t="shared" si="29"/>
        <v>256</v>
      </c>
      <c r="D201" s="347" t="s">
        <v>355</v>
      </c>
      <c r="E201" s="347" t="s">
        <v>418</v>
      </c>
      <c r="F201" s="201">
        <v>3019238650</v>
      </c>
      <c r="G201" s="202">
        <v>390</v>
      </c>
      <c r="H201" s="80">
        <v>8000</v>
      </c>
      <c r="I201" s="202">
        <v>32000</v>
      </c>
      <c r="J201" s="358"/>
      <c r="K201" s="357">
        <f t="shared" si="28"/>
        <v>40000</v>
      </c>
      <c r="L201" s="342">
        <v>8000</v>
      </c>
      <c r="M201" s="81" t="s">
        <v>770</v>
      </c>
      <c r="N201" s="81"/>
      <c r="O201" s="81"/>
      <c r="P201" s="342">
        <v>5000</v>
      </c>
      <c r="Q201" s="80" t="s">
        <v>913</v>
      </c>
      <c r="R201" s="80"/>
      <c r="S201" s="80"/>
      <c r="T201" s="342">
        <v>10000</v>
      </c>
      <c r="U201" s="80" t="s">
        <v>1000</v>
      </c>
      <c r="V201" s="80"/>
      <c r="W201" s="80"/>
      <c r="X201" s="342">
        <v>10000</v>
      </c>
      <c r="Y201" s="80" t="s">
        <v>1143</v>
      </c>
      <c r="Z201" s="80"/>
      <c r="AA201" s="81"/>
      <c r="AB201" s="80"/>
      <c r="AC201" s="342"/>
      <c r="AD201" s="342">
        <f t="shared" si="30"/>
        <v>33000</v>
      </c>
      <c r="AE201" s="342">
        <f t="shared" si="31"/>
        <v>-7000</v>
      </c>
      <c r="AF201" s="362"/>
      <c r="AG201" s="363"/>
    </row>
    <row r="202" spans="1:35" s="364" customFormat="1" ht="41.25" customHeight="1" x14ac:dyDescent="0.55000000000000004">
      <c r="A202" s="341">
        <v>198</v>
      </c>
      <c r="B202" s="342" t="s">
        <v>500</v>
      </c>
      <c r="C202" s="348">
        <f t="shared" si="29"/>
        <v>257</v>
      </c>
      <c r="D202" s="347" t="s">
        <v>419</v>
      </c>
      <c r="E202" s="347" t="s">
        <v>409</v>
      </c>
      <c r="F202" s="201">
        <v>3016044278</v>
      </c>
      <c r="G202" s="202" t="s">
        <v>24</v>
      </c>
      <c r="H202" s="80">
        <v>8000</v>
      </c>
      <c r="I202" s="202">
        <v>22000</v>
      </c>
      <c r="J202" s="358"/>
      <c r="K202" s="357">
        <f t="shared" si="28"/>
        <v>30000</v>
      </c>
      <c r="L202" s="342">
        <v>8000</v>
      </c>
      <c r="M202" s="81" t="s">
        <v>711</v>
      </c>
      <c r="N202" s="81"/>
      <c r="O202" s="81"/>
      <c r="P202" s="342">
        <v>10000</v>
      </c>
      <c r="Q202" s="80" t="s">
        <v>1042</v>
      </c>
      <c r="R202" s="80"/>
      <c r="S202" s="80"/>
      <c r="T202" s="342"/>
      <c r="U202" s="80"/>
      <c r="V202" s="80"/>
      <c r="W202" s="80"/>
      <c r="X202" s="342"/>
      <c r="Y202" s="80"/>
      <c r="Z202" s="80"/>
      <c r="AA202" s="81"/>
      <c r="AB202" s="80"/>
      <c r="AC202" s="342"/>
      <c r="AD202" s="342">
        <f t="shared" si="30"/>
        <v>18000</v>
      </c>
      <c r="AE202" s="342">
        <f t="shared" si="31"/>
        <v>-12000</v>
      </c>
      <c r="AF202" s="362"/>
      <c r="AG202" s="363"/>
    </row>
    <row r="203" spans="1:35" s="364" customFormat="1" ht="41.25" customHeight="1" x14ac:dyDescent="0.55000000000000004">
      <c r="A203" s="341">
        <v>199</v>
      </c>
      <c r="B203" s="349" t="s">
        <v>500</v>
      </c>
      <c r="C203" s="350">
        <f t="shared" si="29"/>
        <v>258</v>
      </c>
      <c r="D203" s="352" t="s">
        <v>371</v>
      </c>
      <c r="E203" s="352" t="s">
        <v>420</v>
      </c>
      <c r="F203" s="201">
        <v>3029175916</v>
      </c>
      <c r="G203" s="201" t="s">
        <v>139</v>
      </c>
      <c r="H203" s="108">
        <v>8000</v>
      </c>
      <c r="I203" s="146">
        <v>37000</v>
      </c>
      <c r="J203" s="359"/>
      <c r="K203" s="360">
        <f t="shared" si="28"/>
        <v>45000</v>
      </c>
      <c r="L203" s="349">
        <v>8000</v>
      </c>
      <c r="M203" s="81" t="s">
        <v>544</v>
      </c>
      <c r="N203" s="81"/>
      <c r="O203" s="81"/>
      <c r="P203" s="349">
        <f>8000+8000</f>
        <v>16000</v>
      </c>
      <c r="Q203" s="80" t="s">
        <v>908</v>
      </c>
      <c r="R203" s="80"/>
      <c r="S203" s="80"/>
      <c r="T203" s="349">
        <v>8000</v>
      </c>
      <c r="U203" s="80" t="s">
        <v>984</v>
      </c>
      <c r="V203" s="80"/>
      <c r="W203" s="80"/>
      <c r="X203" s="349">
        <v>13000</v>
      </c>
      <c r="Y203" s="108" t="s">
        <v>1163</v>
      </c>
      <c r="Z203" s="80"/>
      <c r="AA203" s="81"/>
      <c r="AB203" s="80"/>
      <c r="AC203" s="349"/>
      <c r="AD203" s="349">
        <f t="shared" si="30"/>
        <v>45000</v>
      </c>
      <c r="AE203" s="349">
        <f t="shared" si="31"/>
        <v>0</v>
      </c>
      <c r="AF203" s="365"/>
      <c r="AG203" s="363"/>
    </row>
    <row r="204" spans="1:35" s="364" customFormat="1" ht="41.25" customHeight="1" x14ac:dyDescent="0.55000000000000004">
      <c r="A204" s="341">
        <v>200</v>
      </c>
      <c r="B204" s="342" t="s">
        <v>500</v>
      </c>
      <c r="C204" s="346">
        <f t="shared" si="29"/>
        <v>259</v>
      </c>
      <c r="D204" s="353" t="s">
        <v>421</v>
      </c>
      <c r="E204" s="353" t="s">
        <v>61</v>
      </c>
      <c r="F204" s="201" t="s">
        <v>422</v>
      </c>
      <c r="G204" s="202" t="s">
        <v>309</v>
      </c>
      <c r="H204" s="80">
        <v>8000</v>
      </c>
      <c r="I204" s="202">
        <v>32000</v>
      </c>
      <c r="J204" s="358"/>
      <c r="K204" s="357">
        <f t="shared" si="28"/>
        <v>40000</v>
      </c>
      <c r="L204" s="342">
        <v>8000</v>
      </c>
      <c r="M204" s="81" t="s">
        <v>746</v>
      </c>
      <c r="N204" s="81"/>
      <c r="O204" s="81"/>
      <c r="P204" s="342"/>
      <c r="Q204" s="80"/>
      <c r="R204" s="80"/>
      <c r="S204" s="80"/>
      <c r="T204" s="342">
        <v>8000</v>
      </c>
      <c r="U204" s="80" t="s">
        <v>1020</v>
      </c>
      <c r="V204" s="80"/>
      <c r="W204" s="80"/>
      <c r="X204" s="342"/>
      <c r="Y204" s="80"/>
      <c r="Z204" s="80"/>
      <c r="AA204" s="81"/>
      <c r="AB204" s="80"/>
      <c r="AC204" s="342"/>
      <c r="AD204" s="342">
        <f t="shared" si="30"/>
        <v>16000</v>
      </c>
      <c r="AE204" s="342">
        <f t="shared" si="31"/>
        <v>-24000</v>
      </c>
      <c r="AF204" s="362"/>
      <c r="AG204" s="363"/>
      <c r="AI204" s="363"/>
    </row>
    <row r="205" spans="1:35" s="364" customFormat="1" ht="41.25" customHeight="1" x14ac:dyDescent="0.55000000000000004">
      <c r="A205" s="341">
        <v>201</v>
      </c>
      <c r="B205" s="342" t="s">
        <v>500</v>
      </c>
      <c r="C205" s="346">
        <f t="shared" si="29"/>
        <v>260</v>
      </c>
      <c r="D205" s="347" t="s">
        <v>453</v>
      </c>
      <c r="E205" s="347" t="s">
        <v>99</v>
      </c>
      <c r="F205" s="201">
        <v>3036830144</v>
      </c>
      <c r="G205" s="202" t="s">
        <v>25</v>
      </c>
      <c r="H205" s="80">
        <v>8000</v>
      </c>
      <c r="I205" s="202">
        <v>36000</v>
      </c>
      <c r="J205" s="358"/>
      <c r="K205" s="357">
        <f t="shared" si="28"/>
        <v>44000</v>
      </c>
      <c r="L205" s="342">
        <v>8000</v>
      </c>
      <c r="M205" s="81" t="s">
        <v>580</v>
      </c>
      <c r="N205" s="81"/>
      <c r="O205" s="81"/>
      <c r="P205" s="342">
        <v>8000</v>
      </c>
      <c r="Q205" s="80" t="s">
        <v>887</v>
      </c>
      <c r="R205" s="80"/>
      <c r="S205" s="80"/>
      <c r="T205" s="342">
        <v>9500</v>
      </c>
      <c r="U205" s="80">
        <v>923</v>
      </c>
      <c r="V205" s="80"/>
      <c r="W205" s="80"/>
      <c r="X205" s="342">
        <v>10000</v>
      </c>
      <c r="Y205" s="80" t="s">
        <v>1162</v>
      </c>
      <c r="Z205" s="80"/>
      <c r="AA205" s="81"/>
      <c r="AB205" s="80"/>
      <c r="AC205" s="342"/>
      <c r="AD205" s="342">
        <f t="shared" si="30"/>
        <v>35500</v>
      </c>
      <c r="AE205" s="342">
        <f t="shared" si="31"/>
        <v>-8500</v>
      </c>
      <c r="AF205" s="362"/>
      <c r="AG205" s="363"/>
      <c r="AI205" s="363"/>
    </row>
    <row r="206" spans="1:35" s="364" customFormat="1" ht="41.25" customHeight="1" x14ac:dyDescent="0.55000000000000004">
      <c r="A206" s="341">
        <v>202</v>
      </c>
      <c r="B206" s="342" t="s">
        <v>500</v>
      </c>
      <c r="C206" s="346">
        <f t="shared" si="29"/>
        <v>261</v>
      </c>
      <c r="D206" s="347" t="s">
        <v>423</v>
      </c>
      <c r="E206" s="347" t="s">
        <v>424</v>
      </c>
      <c r="F206" s="201">
        <v>3260590746</v>
      </c>
      <c r="G206" s="202" t="s">
        <v>20</v>
      </c>
      <c r="H206" s="80">
        <v>8000</v>
      </c>
      <c r="I206" s="202">
        <v>32000</v>
      </c>
      <c r="J206" s="358"/>
      <c r="K206" s="357">
        <f t="shared" si="28"/>
        <v>40000</v>
      </c>
      <c r="L206" s="342">
        <v>8000</v>
      </c>
      <c r="M206" s="81" t="s">
        <v>708</v>
      </c>
      <c r="N206" s="81"/>
      <c r="O206" s="81"/>
      <c r="P206" s="342">
        <v>8000</v>
      </c>
      <c r="Q206" s="80"/>
      <c r="R206" s="80"/>
      <c r="S206" s="80"/>
      <c r="T206" s="342">
        <v>8000</v>
      </c>
      <c r="U206" s="80">
        <v>922</v>
      </c>
      <c r="V206" s="80"/>
      <c r="W206" s="80"/>
      <c r="X206" s="342"/>
      <c r="Y206" s="80"/>
      <c r="Z206" s="80"/>
      <c r="AA206" s="81"/>
      <c r="AB206" s="80"/>
      <c r="AC206" s="342"/>
      <c r="AD206" s="342">
        <f t="shared" si="30"/>
        <v>24000</v>
      </c>
      <c r="AE206" s="342">
        <f t="shared" si="31"/>
        <v>-16000</v>
      </c>
      <c r="AF206" s="362"/>
      <c r="AG206" s="363"/>
      <c r="AI206" s="363"/>
    </row>
    <row r="207" spans="1:35" s="364" customFormat="1" ht="41.25" customHeight="1" x14ac:dyDescent="0.55000000000000004">
      <c r="A207" s="341">
        <v>203</v>
      </c>
      <c r="B207" s="342" t="s">
        <v>500</v>
      </c>
      <c r="C207" s="346">
        <f t="shared" si="29"/>
        <v>262</v>
      </c>
      <c r="D207" s="347" t="s">
        <v>425</v>
      </c>
      <c r="E207" s="347" t="s">
        <v>99</v>
      </c>
      <c r="F207" s="201">
        <v>3401456000</v>
      </c>
      <c r="G207" s="202" t="s">
        <v>143</v>
      </c>
      <c r="H207" s="80">
        <v>8000</v>
      </c>
      <c r="I207" s="202">
        <v>40000</v>
      </c>
      <c r="J207" s="358"/>
      <c r="K207" s="357">
        <f t="shared" si="28"/>
        <v>48000</v>
      </c>
      <c r="L207" s="342">
        <v>8000</v>
      </c>
      <c r="M207" s="81" t="s">
        <v>542</v>
      </c>
      <c r="N207" s="81"/>
      <c r="O207" s="81"/>
      <c r="P207" s="342">
        <v>5000</v>
      </c>
      <c r="Q207" s="80">
        <v>492</v>
      </c>
      <c r="R207" s="80"/>
      <c r="S207" s="80"/>
      <c r="T207" s="342">
        <v>10000</v>
      </c>
      <c r="U207" s="80" t="s">
        <v>1019</v>
      </c>
      <c r="V207" s="80"/>
      <c r="W207" s="80"/>
      <c r="X207" s="342">
        <v>10000</v>
      </c>
      <c r="Y207" s="80" t="s">
        <v>1144</v>
      </c>
      <c r="Z207" s="80"/>
      <c r="AA207" s="81"/>
      <c r="AB207" s="80"/>
      <c r="AC207" s="342"/>
      <c r="AD207" s="342">
        <f t="shared" si="30"/>
        <v>33000</v>
      </c>
      <c r="AE207" s="342">
        <f t="shared" si="31"/>
        <v>-15000</v>
      </c>
      <c r="AF207" s="362"/>
      <c r="AG207" s="363"/>
      <c r="AI207" s="363"/>
    </row>
    <row r="208" spans="1:35" s="364" customFormat="1" ht="41.25" customHeight="1" x14ac:dyDescent="0.55000000000000004">
      <c r="A208" s="341">
        <v>204</v>
      </c>
      <c r="B208" s="342" t="s">
        <v>500</v>
      </c>
      <c r="C208" s="348">
        <f t="shared" si="29"/>
        <v>263</v>
      </c>
      <c r="D208" s="347" t="s">
        <v>458</v>
      </c>
      <c r="E208" s="347" t="s">
        <v>459</v>
      </c>
      <c r="F208" s="201">
        <v>3007277137</v>
      </c>
      <c r="G208" s="202" t="s">
        <v>433</v>
      </c>
      <c r="H208" s="80">
        <v>8000</v>
      </c>
      <c r="I208" s="202">
        <v>34000</v>
      </c>
      <c r="J208" s="358"/>
      <c r="K208" s="357">
        <f t="shared" si="28"/>
        <v>42000</v>
      </c>
      <c r="L208" s="342">
        <v>8000</v>
      </c>
      <c r="M208" s="81" t="s">
        <v>552</v>
      </c>
      <c r="N208" s="81"/>
      <c r="O208" s="81"/>
      <c r="P208" s="342"/>
      <c r="Q208" s="80"/>
      <c r="R208" s="80"/>
      <c r="S208" s="80"/>
      <c r="T208" s="342"/>
      <c r="U208" s="80"/>
      <c r="V208" s="80"/>
      <c r="W208" s="80"/>
      <c r="X208" s="342"/>
      <c r="Y208" s="80"/>
      <c r="Z208" s="80"/>
      <c r="AA208" s="81"/>
      <c r="AB208" s="80"/>
      <c r="AC208" s="342"/>
      <c r="AD208" s="342">
        <f t="shared" si="30"/>
        <v>8000</v>
      </c>
      <c r="AE208" s="342">
        <f t="shared" si="31"/>
        <v>-34000</v>
      </c>
      <c r="AF208" s="362"/>
      <c r="AG208" s="363"/>
      <c r="AI208" s="363"/>
    </row>
    <row r="209" spans="1:35" s="364" customFormat="1" ht="41.25" customHeight="1" x14ac:dyDescent="0.55000000000000004">
      <c r="A209" s="341">
        <v>205</v>
      </c>
      <c r="B209" s="342" t="s">
        <v>500</v>
      </c>
      <c r="C209" s="346">
        <f t="shared" si="29"/>
        <v>264</v>
      </c>
      <c r="D209" s="347" t="s">
        <v>426</v>
      </c>
      <c r="E209" s="347" t="s">
        <v>427</v>
      </c>
      <c r="F209" s="201">
        <v>3061386141</v>
      </c>
      <c r="G209" s="202" t="s">
        <v>416</v>
      </c>
      <c r="H209" s="80">
        <v>8000</v>
      </c>
      <c r="I209" s="202">
        <v>32000</v>
      </c>
      <c r="J209" s="358"/>
      <c r="K209" s="357">
        <f t="shared" si="28"/>
        <v>40000</v>
      </c>
      <c r="L209" s="342">
        <v>8000</v>
      </c>
      <c r="M209" s="81" t="s">
        <v>673</v>
      </c>
      <c r="N209" s="81"/>
      <c r="O209" s="81"/>
      <c r="P209" s="342">
        <v>8000</v>
      </c>
      <c r="Q209" s="80" t="s">
        <v>890</v>
      </c>
      <c r="R209" s="80"/>
      <c r="S209" s="80"/>
      <c r="T209" s="342">
        <v>8000</v>
      </c>
      <c r="U209" s="80" t="s">
        <v>991</v>
      </c>
      <c r="V209" s="80"/>
      <c r="W209" s="80"/>
      <c r="X209" s="342">
        <v>8000</v>
      </c>
      <c r="Y209" s="80" t="s">
        <v>1142</v>
      </c>
      <c r="Z209" s="80"/>
      <c r="AA209" s="81"/>
      <c r="AB209" s="80"/>
      <c r="AC209" s="342"/>
      <c r="AD209" s="342">
        <f t="shared" si="30"/>
        <v>32000</v>
      </c>
      <c r="AE209" s="342">
        <f t="shared" si="31"/>
        <v>-8000</v>
      </c>
      <c r="AF209" s="362"/>
      <c r="AG209" s="363"/>
      <c r="AI209" s="363"/>
    </row>
    <row r="210" spans="1:35" s="364" customFormat="1" ht="41.25" customHeight="1" x14ac:dyDescent="0.55000000000000004">
      <c r="A210" s="341">
        <v>206</v>
      </c>
      <c r="B210" s="342" t="s">
        <v>500</v>
      </c>
      <c r="C210" s="346">
        <f t="shared" si="29"/>
        <v>265</v>
      </c>
      <c r="D210" s="347" t="s">
        <v>428</v>
      </c>
      <c r="E210" s="347" t="s">
        <v>429</v>
      </c>
      <c r="F210" s="201">
        <v>3215793373</v>
      </c>
      <c r="G210" s="202" t="s">
        <v>272</v>
      </c>
      <c r="H210" s="80">
        <v>8000</v>
      </c>
      <c r="I210" s="202">
        <v>32000</v>
      </c>
      <c r="J210" s="358"/>
      <c r="K210" s="357">
        <f t="shared" si="28"/>
        <v>40000</v>
      </c>
      <c r="L210" s="342">
        <v>8000</v>
      </c>
      <c r="M210" s="81" t="s">
        <v>705</v>
      </c>
      <c r="N210" s="81"/>
      <c r="O210" s="81"/>
      <c r="P210" s="342">
        <v>8000</v>
      </c>
      <c r="Q210" s="80" t="s">
        <v>925</v>
      </c>
      <c r="R210" s="80"/>
      <c r="S210" s="80"/>
      <c r="T210" s="342"/>
      <c r="U210" s="80"/>
      <c r="V210" s="80"/>
      <c r="W210" s="80"/>
      <c r="X210" s="342">
        <v>8000</v>
      </c>
      <c r="Y210" s="80" t="s">
        <v>1065</v>
      </c>
      <c r="Z210" s="80"/>
      <c r="AA210" s="81"/>
      <c r="AB210" s="80"/>
      <c r="AC210" s="342"/>
      <c r="AD210" s="342">
        <f t="shared" si="30"/>
        <v>24000</v>
      </c>
      <c r="AE210" s="342">
        <f t="shared" si="31"/>
        <v>-16000</v>
      </c>
      <c r="AF210" s="362"/>
      <c r="AG210" s="363"/>
    </row>
    <row r="211" spans="1:35" s="364" customFormat="1" ht="41.25" customHeight="1" x14ac:dyDescent="0.55000000000000004">
      <c r="A211" s="341">
        <v>207</v>
      </c>
      <c r="B211" s="342" t="s">
        <v>500</v>
      </c>
      <c r="C211" s="346">
        <f t="shared" si="29"/>
        <v>266</v>
      </c>
      <c r="D211" s="347" t="s">
        <v>430</v>
      </c>
      <c r="E211" s="347" t="s">
        <v>431</v>
      </c>
      <c r="F211" s="201">
        <v>3277690698</v>
      </c>
      <c r="G211" s="202" t="s">
        <v>416</v>
      </c>
      <c r="H211" s="80">
        <v>8000</v>
      </c>
      <c r="I211" s="202">
        <v>40000</v>
      </c>
      <c r="J211" s="358"/>
      <c r="K211" s="357">
        <f t="shared" si="28"/>
        <v>48000</v>
      </c>
      <c r="L211" s="342">
        <v>8000</v>
      </c>
      <c r="M211" s="81" t="s">
        <v>640</v>
      </c>
      <c r="N211" s="81"/>
      <c r="O211" s="81"/>
      <c r="P211" s="342"/>
      <c r="Q211" s="80"/>
      <c r="R211" s="80"/>
      <c r="S211" s="80"/>
      <c r="T211" s="342">
        <v>20000</v>
      </c>
      <c r="U211" s="80" t="s">
        <v>1024</v>
      </c>
      <c r="V211" s="80"/>
      <c r="W211" s="80"/>
      <c r="X211" s="342"/>
      <c r="Y211" s="80"/>
      <c r="Z211" s="80"/>
      <c r="AA211" s="81"/>
      <c r="AB211" s="80"/>
      <c r="AC211" s="342"/>
      <c r="AD211" s="342">
        <f t="shared" si="30"/>
        <v>28000</v>
      </c>
      <c r="AE211" s="342">
        <f t="shared" si="31"/>
        <v>-20000</v>
      </c>
      <c r="AF211" s="362"/>
      <c r="AG211" s="363"/>
      <c r="AI211" s="363"/>
    </row>
    <row r="212" spans="1:35" s="364" customFormat="1" ht="41.25" customHeight="1" x14ac:dyDescent="0.55000000000000004">
      <c r="A212" s="341">
        <v>208</v>
      </c>
      <c r="B212" s="342" t="s">
        <v>500</v>
      </c>
      <c r="C212" s="346">
        <f t="shared" si="29"/>
        <v>267</v>
      </c>
      <c r="D212" s="353" t="s">
        <v>432</v>
      </c>
      <c r="E212" s="347" t="s">
        <v>170</v>
      </c>
      <c r="F212" s="201">
        <v>3427817465</v>
      </c>
      <c r="G212" s="202" t="s">
        <v>433</v>
      </c>
      <c r="H212" s="80">
        <v>8000</v>
      </c>
      <c r="I212" s="202">
        <v>36000</v>
      </c>
      <c r="J212" s="358"/>
      <c r="K212" s="357">
        <f t="shared" si="28"/>
        <v>44000</v>
      </c>
      <c r="L212" s="342">
        <v>8000</v>
      </c>
      <c r="M212" s="81" t="s">
        <v>627</v>
      </c>
      <c r="N212" s="81"/>
      <c r="O212" s="81"/>
      <c r="P212" s="342">
        <v>8000</v>
      </c>
      <c r="Q212" s="80" t="s">
        <v>873</v>
      </c>
      <c r="R212" s="80"/>
      <c r="S212" s="80"/>
      <c r="T212" s="342">
        <v>8000</v>
      </c>
      <c r="U212" s="80">
        <v>945</v>
      </c>
      <c r="V212" s="80"/>
      <c r="W212" s="80"/>
      <c r="X212" s="342">
        <v>9000</v>
      </c>
      <c r="Y212" s="80" t="s">
        <v>1137</v>
      </c>
      <c r="Z212" s="80"/>
      <c r="AA212" s="81"/>
      <c r="AB212" s="80"/>
      <c r="AC212" s="342"/>
      <c r="AD212" s="342">
        <f t="shared" si="30"/>
        <v>33000</v>
      </c>
      <c r="AE212" s="342">
        <f t="shared" si="31"/>
        <v>-11000</v>
      </c>
      <c r="AF212" s="362"/>
      <c r="AG212" s="363"/>
    </row>
    <row r="213" spans="1:35" s="364" customFormat="1" ht="41.25" customHeight="1" x14ac:dyDescent="0.55000000000000004">
      <c r="A213" s="341">
        <v>209</v>
      </c>
      <c r="B213" s="342" t="s">
        <v>500</v>
      </c>
      <c r="C213" s="346">
        <f t="shared" si="29"/>
        <v>268</v>
      </c>
      <c r="D213" s="353" t="s">
        <v>434</v>
      </c>
      <c r="E213" s="353" t="s">
        <v>435</v>
      </c>
      <c r="F213" s="201" t="s">
        <v>436</v>
      </c>
      <c r="G213" s="202" t="s">
        <v>30</v>
      </c>
      <c r="H213" s="80">
        <v>8000</v>
      </c>
      <c r="I213" s="202">
        <v>32000</v>
      </c>
      <c r="J213" s="358"/>
      <c r="K213" s="357">
        <f t="shared" si="28"/>
        <v>40000</v>
      </c>
      <c r="L213" s="342">
        <v>8000</v>
      </c>
      <c r="M213" s="81" t="s">
        <v>701</v>
      </c>
      <c r="N213" s="81"/>
      <c r="O213" s="81"/>
      <c r="P213" s="342">
        <v>8000</v>
      </c>
      <c r="Q213" s="80" t="s">
        <v>852</v>
      </c>
      <c r="R213" s="80"/>
      <c r="S213" s="80"/>
      <c r="T213" s="342">
        <v>8000</v>
      </c>
      <c r="U213" s="80">
        <v>960</v>
      </c>
      <c r="V213" s="80"/>
      <c r="W213" s="80"/>
      <c r="X213" s="342">
        <v>8000</v>
      </c>
      <c r="Y213" s="80" t="s">
        <v>1126</v>
      </c>
      <c r="Z213" s="80"/>
      <c r="AA213" s="81"/>
      <c r="AB213" s="80"/>
      <c r="AC213" s="342"/>
      <c r="AD213" s="342">
        <f t="shared" si="30"/>
        <v>32000</v>
      </c>
      <c r="AE213" s="342">
        <f t="shared" si="31"/>
        <v>-8000</v>
      </c>
      <c r="AF213" s="362"/>
      <c r="AG213" s="363"/>
    </row>
    <row r="214" spans="1:35" s="364" customFormat="1" ht="41.25" customHeight="1" x14ac:dyDescent="0.55000000000000004">
      <c r="A214" s="341">
        <v>210</v>
      </c>
      <c r="B214" s="342" t="s">
        <v>500</v>
      </c>
      <c r="C214" s="346">
        <f t="shared" si="29"/>
        <v>269</v>
      </c>
      <c r="D214" s="347" t="s">
        <v>437</v>
      </c>
      <c r="E214" s="347" t="s">
        <v>438</v>
      </c>
      <c r="F214" s="201">
        <v>3015056701</v>
      </c>
      <c r="G214" s="202" t="s">
        <v>309</v>
      </c>
      <c r="H214" s="80">
        <v>8000</v>
      </c>
      <c r="I214" s="202">
        <v>32000</v>
      </c>
      <c r="J214" s="358"/>
      <c r="K214" s="357">
        <f t="shared" si="28"/>
        <v>40000</v>
      </c>
      <c r="L214" s="342">
        <v>8000</v>
      </c>
      <c r="M214" s="81" t="s">
        <v>732</v>
      </c>
      <c r="N214" s="81"/>
      <c r="O214" s="81"/>
      <c r="P214" s="342"/>
      <c r="Q214" s="80"/>
      <c r="R214" s="80"/>
      <c r="S214" s="80"/>
      <c r="T214" s="342">
        <v>8000</v>
      </c>
      <c r="U214" s="80">
        <v>959</v>
      </c>
      <c r="V214" s="80"/>
      <c r="W214" s="80"/>
      <c r="X214" s="342">
        <v>8000</v>
      </c>
      <c r="Y214" s="80" t="s">
        <v>1151</v>
      </c>
      <c r="Z214" s="80"/>
      <c r="AA214" s="81"/>
      <c r="AB214" s="80"/>
      <c r="AC214" s="342"/>
      <c r="AD214" s="342">
        <f t="shared" si="30"/>
        <v>24000</v>
      </c>
      <c r="AE214" s="342">
        <f t="shared" si="31"/>
        <v>-16000</v>
      </c>
      <c r="AF214" s="362"/>
      <c r="AG214" s="363"/>
    </row>
    <row r="215" spans="1:35" s="364" customFormat="1" ht="41.25" customHeight="1" x14ac:dyDescent="0.55000000000000004">
      <c r="A215" s="341">
        <v>211</v>
      </c>
      <c r="B215" s="342" t="s">
        <v>500</v>
      </c>
      <c r="C215" s="346">
        <f t="shared" si="29"/>
        <v>270</v>
      </c>
      <c r="D215" s="354" t="s">
        <v>439</v>
      </c>
      <c r="E215" s="353" t="s">
        <v>440</v>
      </c>
      <c r="F215" s="201">
        <v>3215348136</v>
      </c>
      <c r="G215" s="202" t="s">
        <v>20</v>
      </c>
      <c r="H215" s="80">
        <v>8000</v>
      </c>
      <c r="I215" s="202">
        <v>31000</v>
      </c>
      <c r="J215" s="358"/>
      <c r="K215" s="357">
        <f t="shared" si="28"/>
        <v>39000</v>
      </c>
      <c r="L215" s="342">
        <v>8000</v>
      </c>
      <c r="M215" s="81" t="s">
        <v>696</v>
      </c>
      <c r="N215" s="81"/>
      <c r="O215" s="81"/>
      <c r="P215" s="342"/>
      <c r="Q215" s="80"/>
      <c r="R215" s="80"/>
      <c r="S215" s="80"/>
      <c r="T215" s="342">
        <v>8000</v>
      </c>
      <c r="U215" s="80" t="s">
        <v>963</v>
      </c>
      <c r="V215" s="80"/>
      <c r="W215" s="80"/>
      <c r="X215" s="342">
        <v>8000</v>
      </c>
      <c r="Y215" s="80" t="s">
        <v>1186</v>
      </c>
      <c r="Z215" s="80"/>
      <c r="AA215" s="81"/>
      <c r="AB215" s="80"/>
      <c r="AC215" s="342"/>
      <c r="AD215" s="342">
        <f t="shared" si="30"/>
        <v>24000</v>
      </c>
      <c r="AE215" s="342">
        <f t="shared" si="31"/>
        <v>-15000</v>
      </c>
      <c r="AF215" s="362"/>
      <c r="AG215" s="363"/>
    </row>
    <row r="216" spans="1:35" s="364" customFormat="1" ht="41.25" customHeight="1" x14ac:dyDescent="0.55000000000000004">
      <c r="A216" s="341">
        <v>212</v>
      </c>
      <c r="B216" s="342" t="s">
        <v>500</v>
      </c>
      <c r="C216" s="346">
        <f t="shared" si="29"/>
        <v>271</v>
      </c>
      <c r="D216" s="353" t="s">
        <v>441</v>
      </c>
      <c r="E216" s="353" t="s">
        <v>442</v>
      </c>
      <c r="F216" s="201">
        <v>3421822441</v>
      </c>
      <c r="G216" s="202" t="s">
        <v>443</v>
      </c>
      <c r="H216" s="80">
        <v>8000</v>
      </c>
      <c r="I216" s="202">
        <v>34000</v>
      </c>
      <c r="J216" s="358"/>
      <c r="K216" s="357">
        <f t="shared" si="28"/>
        <v>42000</v>
      </c>
      <c r="L216" s="342">
        <v>8000</v>
      </c>
      <c r="M216" s="81" t="s">
        <v>692</v>
      </c>
      <c r="N216" s="81"/>
      <c r="O216" s="81"/>
      <c r="P216" s="342">
        <v>12000</v>
      </c>
      <c r="Q216" s="80" t="s">
        <v>796</v>
      </c>
      <c r="R216" s="80"/>
      <c r="S216" s="80"/>
      <c r="T216" s="342">
        <v>7000</v>
      </c>
      <c r="U216" s="80" t="s">
        <v>1036</v>
      </c>
      <c r="V216" s="80"/>
      <c r="W216" s="80"/>
      <c r="X216" s="342"/>
      <c r="Y216" s="80"/>
      <c r="Z216" s="80"/>
      <c r="AA216" s="81"/>
      <c r="AB216" s="80"/>
      <c r="AC216" s="342"/>
      <c r="AD216" s="342">
        <f t="shared" si="30"/>
        <v>27000</v>
      </c>
      <c r="AE216" s="342">
        <f t="shared" si="31"/>
        <v>-15000</v>
      </c>
      <c r="AF216" s="362"/>
      <c r="AG216" s="363"/>
    </row>
    <row r="217" spans="1:35" s="364" customFormat="1" ht="41.25" customHeight="1" x14ac:dyDescent="0.55000000000000004">
      <c r="A217" s="341">
        <v>213</v>
      </c>
      <c r="B217" s="342" t="s">
        <v>500</v>
      </c>
      <c r="C217" s="346">
        <f t="shared" si="29"/>
        <v>272</v>
      </c>
      <c r="D217" s="347" t="s">
        <v>456</v>
      </c>
      <c r="E217" s="347" t="s">
        <v>457</v>
      </c>
      <c r="F217" s="201">
        <v>3201319509</v>
      </c>
      <c r="G217" s="202" t="s">
        <v>139</v>
      </c>
      <c r="H217" s="80">
        <v>8000</v>
      </c>
      <c r="I217" s="202">
        <v>27000</v>
      </c>
      <c r="J217" s="358"/>
      <c r="K217" s="357">
        <f t="shared" si="28"/>
        <v>35000</v>
      </c>
      <c r="L217" s="342">
        <v>8000</v>
      </c>
      <c r="M217" s="81" t="s">
        <v>741</v>
      </c>
      <c r="N217" s="81"/>
      <c r="O217" s="81"/>
      <c r="P217" s="342"/>
      <c r="Q217" s="80"/>
      <c r="R217" s="80"/>
      <c r="S217" s="80"/>
      <c r="T217" s="342">
        <v>9000</v>
      </c>
      <c r="U217" s="80" t="s">
        <v>1018</v>
      </c>
      <c r="V217" s="80"/>
      <c r="W217" s="80"/>
      <c r="X217" s="342"/>
      <c r="Y217" s="80"/>
      <c r="Z217" s="80"/>
      <c r="AA217" s="81"/>
      <c r="AB217" s="80"/>
      <c r="AC217" s="342"/>
      <c r="AD217" s="342">
        <f t="shared" si="30"/>
        <v>17000</v>
      </c>
      <c r="AE217" s="342">
        <f t="shared" si="31"/>
        <v>-18000</v>
      </c>
      <c r="AF217" s="362"/>
      <c r="AG217" s="363"/>
      <c r="AI217" s="363"/>
    </row>
    <row r="218" spans="1:35" s="364" customFormat="1" ht="41.25" customHeight="1" x14ac:dyDescent="0.55000000000000004">
      <c r="A218" s="341">
        <v>214</v>
      </c>
      <c r="B218" s="342" t="s">
        <v>500</v>
      </c>
      <c r="C218" s="346">
        <f t="shared" si="29"/>
        <v>273</v>
      </c>
      <c r="D218" s="347" t="s">
        <v>444</v>
      </c>
      <c r="E218" s="347" t="s">
        <v>53</v>
      </c>
      <c r="F218" s="201">
        <v>3219944292</v>
      </c>
      <c r="G218" s="202" t="s">
        <v>139</v>
      </c>
      <c r="H218" s="80">
        <v>8000</v>
      </c>
      <c r="I218" s="202">
        <v>40000</v>
      </c>
      <c r="J218" s="358"/>
      <c r="K218" s="357">
        <f t="shared" ref="K218:K249" si="32">I218+J218+H218</f>
        <v>48000</v>
      </c>
      <c r="L218" s="342">
        <v>8000</v>
      </c>
      <c r="M218" s="81" t="s">
        <v>665</v>
      </c>
      <c r="N218" s="81"/>
      <c r="O218" s="81"/>
      <c r="P218" s="342">
        <f>10000+10000</f>
        <v>20000</v>
      </c>
      <c r="Q218" s="80" t="s">
        <v>898</v>
      </c>
      <c r="R218" s="80"/>
      <c r="S218" s="80"/>
      <c r="T218" s="342"/>
      <c r="U218" s="80"/>
      <c r="V218" s="80"/>
      <c r="W218" s="80"/>
      <c r="X218" s="342">
        <v>10000</v>
      </c>
      <c r="Y218" s="80" t="s">
        <v>1156</v>
      </c>
      <c r="Z218" s="80"/>
      <c r="AA218" s="81"/>
      <c r="AB218" s="80"/>
      <c r="AC218" s="342"/>
      <c r="AD218" s="342">
        <f t="shared" si="30"/>
        <v>38000</v>
      </c>
      <c r="AE218" s="342">
        <f t="shared" si="31"/>
        <v>-10000</v>
      </c>
      <c r="AF218" s="362"/>
      <c r="AG218" s="363"/>
    </row>
    <row r="219" spans="1:35" s="364" customFormat="1" ht="41.25" customHeight="1" x14ac:dyDescent="0.55000000000000004">
      <c r="A219" s="341">
        <v>215</v>
      </c>
      <c r="B219" s="342" t="s">
        <v>500</v>
      </c>
      <c r="C219" s="346">
        <f t="shared" si="29"/>
        <v>274</v>
      </c>
      <c r="D219" s="353" t="s">
        <v>445</v>
      </c>
      <c r="E219" s="353" t="s">
        <v>446</v>
      </c>
      <c r="F219" s="201" t="s">
        <v>447</v>
      </c>
      <c r="G219" s="202" t="s">
        <v>30</v>
      </c>
      <c r="H219" s="80">
        <v>8000</v>
      </c>
      <c r="I219" s="202">
        <v>16000</v>
      </c>
      <c r="J219" s="358"/>
      <c r="K219" s="357">
        <f t="shared" si="32"/>
        <v>24000</v>
      </c>
      <c r="L219" s="342">
        <v>8000</v>
      </c>
      <c r="M219" s="81" t="s">
        <v>765</v>
      </c>
      <c r="N219" s="81"/>
      <c r="O219" s="81"/>
      <c r="P219" s="342">
        <v>12000</v>
      </c>
      <c r="Q219" s="80" t="s">
        <v>879</v>
      </c>
      <c r="R219" s="80"/>
      <c r="S219" s="80"/>
      <c r="T219" s="342"/>
      <c r="U219" s="80"/>
      <c r="V219" s="80"/>
      <c r="W219" s="80"/>
      <c r="X219" s="342"/>
      <c r="Y219" s="80"/>
      <c r="Z219" s="80"/>
      <c r="AA219" s="81"/>
      <c r="AB219" s="80"/>
      <c r="AC219" s="342"/>
      <c r="AD219" s="342">
        <f t="shared" si="30"/>
        <v>20000</v>
      </c>
      <c r="AE219" s="342">
        <f t="shared" si="31"/>
        <v>-4000</v>
      </c>
      <c r="AF219" s="362"/>
      <c r="AG219" s="363"/>
    </row>
    <row r="220" spans="1:35" s="364" customFormat="1" ht="41.25" customHeight="1" x14ac:dyDescent="0.55000000000000004">
      <c r="A220" s="341">
        <v>216</v>
      </c>
      <c r="B220" s="342" t="s">
        <v>500</v>
      </c>
      <c r="C220" s="346">
        <f t="shared" si="29"/>
        <v>275</v>
      </c>
      <c r="D220" s="347" t="s">
        <v>448</v>
      </c>
      <c r="E220" s="347" t="s">
        <v>51</v>
      </c>
      <c r="F220" s="201">
        <v>3007615807</v>
      </c>
      <c r="G220" s="202" t="s">
        <v>21</v>
      </c>
      <c r="H220" s="80">
        <v>8000</v>
      </c>
      <c r="I220" s="202">
        <v>32000</v>
      </c>
      <c r="J220" s="358"/>
      <c r="K220" s="357">
        <f t="shared" si="32"/>
        <v>40000</v>
      </c>
      <c r="L220" s="342">
        <v>8000</v>
      </c>
      <c r="M220" s="81" t="s">
        <v>703</v>
      </c>
      <c r="N220" s="81"/>
      <c r="O220" s="81"/>
      <c r="P220" s="342">
        <v>42000</v>
      </c>
      <c r="Q220" s="80" t="s">
        <v>800</v>
      </c>
      <c r="R220" s="80"/>
      <c r="S220" s="80"/>
      <c r="T220" s="342"/>
      <c r="U220" s="80"/>
      <c r="V220" s="80"/>
      <c r="W220" s="80"/>
      <c r="X220" s="342"/>
      <c r="Y220" s="80"/>
      <c r="Z220" s="80"/>
      <c r="AA220" s="81"/>
      <c r="AB220" s="80"/>
      <c r="AC220" s="342"/>
      <c r="AD220" s="342">
        <f t="shared" si="30"/>
        <v>50000</v>
      </c>
      <c r="AE220" s="342">
        <f t="shared" si="31"/>
        <v>10000</v>
      </c>
      <c r="AF220" s="362"/>
      <c r="AG220" s="363"/>
    </row>
    <row r="221" spans="1:35" s="364" customFormat="1" ht="41.25" customHeight="1" x14ac:dyDescent="0.55000000000000004">
      <c r="A221" s="341">
        <v>217</v>
      </c>
      <c r="B221" s="342" t="s">
        <v>500</v>
      </c>
      <c r="C221" s="346">
        <f t="shared" si="29"/>
        <v>276</v>
      </c>
      <c r="D221" s="355" t="s">
        <v>514</v>
      </c>
      <c r="E221" s="347" t="s">
        <v>515</v>
      </c>
      <c r="F221" s="201">
        <v>3227763136</v>
      </c>
      <c r="G221" s="202" t="s">
        <v>20</v>
      </c>
      <c r="H221" s="80">
        <v>8000</v>
      </c>
      <c r="I221" s="202">
        <v>27000</v>
      </c>
      <c r="J221" s="358"/>
      <c r="K221" s="357">
        <f t="shared" si="32"/>
        <v>35000</v>
      </c>
      <c r="L221" s="342">
        <v>2000</v>
      </c>
      <c r="M221" s="81" t="s">
        <v>756</v>
      </c>
      <c r="N221" s="81"/>
      <c r="O221" s="81"/>
      <c r="P221" s="342">
        <v>6000</v>
      </c>
      <c r="Q221" s="80" t="s">
        <v>841</v>
      </c>
      <c r="R221" s="80"/>
      <c r="S221" s="80"/>
      <c r="T221" s="342">
        <v>7000</v>
      </c>
      <c r="U221" s="80">
        <v>920</v>
      </c>
      <c r="V221" s="80"/>
      <c r="W221" s="80"/>
      <c r="X221" s="342">
        <v>7000</v>
      </c>
      <c r="Y221" s="80" t="s">
        <v>1107</v>
      </c>
      <c r="Z221" s="80"/>
      <c r="AA221" s="81"/>
      <c r="AB221" s="80"/>
      <c r="AC221" s="342"/>
      <c r="AD221" s="342">
        <f t="shared" si="30"/>
        <v>22000</v>
      </c>
      <c r="AE221" s="342">
        <f t="shared" si="31"/>
        <v>-13000</v>
      </c>
      <c r="AF221" s="362"/>
      <c r="AG221" s="363"/>
    </row>
    <row r="222" spans="1:35" s="364" customFormat="1" ht="41.25" customHeight="1" x14ac:dyDescent="0.55000000000000004">
      <c r="A222" s="341">
        <v>218</v>
      </c>
      <c r="B222" s="342" t="s">
        <v>500</v>
      </c>
      <c r="C222" s="346">
        <f t="shared" si="29"/>
        <v>277</v>
      </c>
      <c r="D222" s="353" t="s">
        <v>449</v>
      </c>
      <c r="E222" s="353" t="s">
        <v>450</v>
      </c>
      <c r="F222" s="201">
        <v>3048155963</v>
      </c>
      <c r="G222" s="202" t="s">
        <v>20</v>
      </c>
      <c r="H222" s="80">
        <v>8000</v>
      </c>
      <c r="I222" s="202">
        <v>31000</v>
      </c>
      <c r="J222" s="358"/>
      <c r="K222" s="357">
        <f t="shared" si="32"/>
        <v>39000</v>
      </c>
      <c r="L222" s="342">
        <v>8000</v>
      </c>
      <c r="M222" s="81" t="s">
        <v>697</v>
      </c>
      <c r="N222" s="81"/>
      <c r="O222" s="81"/>
      <c r="P222" s="342"/>
      <c r="Q222" s="80"/>
      <c r="R222" s="80"/>
      <c r="S222" s="80"/>
      <c r="T222" s="342">
        <v>16000</v>
      </c>
      <c r="U222" s="80" t="s">
        <v>969</v>
      </c>
      <c r="V222" s="80"/>
      <c r="W222" s="80"/>
      <c r="X222" s="342">
        <v>8000</v>
      </c>
      <c r="Y222" s="80" t="s">
        <v>1187</v>
      </c>
      <c r="Z222" s="80"/>
      <c r="AA222" s="81"/>
      <c r="AB222" s="80"/>
      <c r="AC222" s="342"/>
      <c r="AD222" s="342">
        <f t="shared" si="30"/>
        <v>32000</v>
      </c>
      <c r="AE222" s="342">
        <f t="shared" si="31"/>
        <v>-7000</v>
      </c>
      <c r="AF222" s="362"/>
      <c r="AG222" s="363"/>
    </row>
    <row r="223" spans="1:35" s="364" customFormat="1" ht="41.25" customHeight="1" x14ac:dyDescent="0.55000000000000004">
      <c r="A223" s="341">
        <v>219</v>
      </c>
      <c r="B223" s="342" t="s">
        <v>500</v>
      </c>
      <c r="C223" s="348">
        <v>278</v>
      </c>
      <c r="D223" s="347" t="s">
        <v>516</v>
      </c>
      <c r="E223" s="347" t="s">
        <v>429</v>
      </c>
      <c r="F223" s="201">
        <v>3415472118</v>
      </c>
      <c r="G223" s="202" t="s">
        <v>517</v>
      </c>
      <c r="H223" s="80">
        <v>8000</v>
      </c>
      <c r="I223" s="203">
        <v>27000</v>
      </c>
      <c r="J223" s="361"/>
      <c r="K223" s="357">
        <f t="shared" si="32"/>
        <v>35000</v>
      </c>
      <c r="L223" s="342">
        <v>5000</v>
      </c>
      <c r="M223" s="81" t="s">
        <v>769</v>
      </c>
      <c r="N223" s="81"/>
      <c r="O223" s="81"/>
      <c r="P223" s="342"/>
      <c r="Q223" s="80"/>
      <c r="R223" s="80"/>
      <c r="S223" s="80"/>
      <c r="T223" s="342"/>
      <c r="U223" s="80"/>
      <c r="V223" s="80"/>
      <c r="W223" s="80"/>
      <c r="X223" s="342"/>
      <c r="Y223" s="80"/>
      <c r="Z223" s="80"/>
      <c r="AA223" s="81"/>
      <c r="AB223" s="80"/>
      <c r="AC223" s="342"/>
      <c r="AD223" s="342">
        <f t="shared" si="30"/>
        <v>5000</v>
      </c>
      <c r="AE223" s="342">
        <f t="shared" si="31"/>
        <v>-30000</v>
      </c>
      <c r="AF223" s="362"/>
      <c r="AG223" s="363"/>
    </row>
    <row r="224" spans="1:35" s="299" customFormat="1" ht="44.25" customHeight="1" thickBot="1" x14ac:dyDescent="0.55000000000000004">
      <c r="A224" s="279">
        <v>220</v>
      </c>
      <c r="B224" s="392" t="s">
        <v>501</v>
      </c>
      <c r="C224" s="393">
        <v>401</v>
      </c>
      <c r="D224" s="394" t="s">
        <v>460</v>
      </c>
      <c r="E224" s="394" t="s">
        <v>461</v>
      </c>
      <c r="F224" s="205">
        <v>3426182146</v>
      </c>
      <c r="G224" s="205" t="s">
        <v>462</v>
      </c>
      <c r="H224" s="82">
        <v>8000</v>
      </c>
      <c r="I224" s="204">
        <v>32000</v>
      </c>
      <c r="J224" s="414"/>
      <c r="K224" s="415">
        <f t="shared" si="32"/>
        <v>40000</v>
      </c>
      <c r="L224" s="392">
        <v>8000</v>
      </c>
      <c r="M224" s="83" t="s">
        <v>719</v>
      </c>
      <c r="N224" s="83"/>
      <c r="O224" s="83"/>
      <c r="P224" s="392">
        <v>8000</v>
      </c>
      <c r="Q224" s="82" t="s">
        <v>1173</v>
      </c>
      <c r="R224" s="82"/>
      <c r="S224" s="82"/>
      <c r="T224" s="392">
        <v>16000</v>
      </c>
      <c r="U224" s="82">
        <v>935</v>
      </c>
      <c r="V224" s="82"/>
      <c r="W224" s="82"/>
      <c r="X224" s="392"/>
      <c r="Y224" s="82"/>
      <c r="Z224" s="82"/>
      <c r="AA224" s="83"/>
      <c r="AB224" s="82"/>
      <c r="AC224" s="392"/>
      <c r="AD224" s="392">
        <f t="shared" si="30"/>
        <v>32000</v>
      </c>
      <c r="AE224" s="392">
        <f t="shared" si="31"/>
        <v>-8000</v>
      </c>
      <c r="AF224" s="427"/>
      <c r="AG224" s="298"/>
    </row>
    <row r="225" spans="1:33" s="299" customFormat="1" ht="44.25" customHeight="1" x14ac:dyDescent="0.5">
      <c r="A225" s="279">
        <v>221</v>
      </c>
      <c r="B225" s="392" t="s">
        <v>501</v>
      </c>
      <c r="C225" s="393">
        <f>C224+1</f>
        <v>402</v>
      </c>
      <c r="D225" s="394" t="s">
        <v>463</v>
      </c>
      <c r="E225" s="394" t="s">
        <v>464</v>
      </c>
      <c r="F225" s="205">
        <v>3281995774</v>
      </c>
      <c r="G225" s="205" t="s">
        <v>462</v>
      </c>
      <c r="H225" s="82">
        <v>8000</v>
      </c>
      <c r="I225" s="204">
        <v>32000</v>
      </c>
      <c r="J225" s="416"/>
      <c r="K225" s="415">
        <f t="shared" si="32"/>
        <v>40000</v>
      </c>
      <c r="L225" s="392">
        <v>8000</v>
      </c>
      <c r="M225" s="83" t="s">
        <v>718</v>
      </c>
      <c r="N225" s="83"/>
      <c r="O225" s="83"/>
      <c r="P225" s="392"/>
      <c r="Q225" s="82"/>
      <c r="R225" s="82"/>
      <c r="S225" s="82"/>
      <c r="T225" s="392">
        <v>8000</v>
      </c>
      <c r="U225" s="82" t="s">
        <v>986</v>
      </c>
      <c r="V225" s="82"/>
      <c r="W225" s="82"/>
      <c r="X225" s="392">
        <v>8000</v>
      </c>
      <c r="Y225" s="82" t="s">
        <v>1148</v>
      </c>
      <c r="Z225" s="82"/>
      <c r="AA225" s="83"/>
      <c r="AB225" s="82"/>
      <c r="AC225" s="392"/>
      <c r="AD225" s="392">
        <f t="shared" si="30"/>
        <v>24000</v>
      </c>
      <c r="AE225" s="392">
        <f t="shared" si="31"/>
        <v>-16000</v>
      </c>
      <c r="AF225" s="427"/>
      <c r="AG225" s="298"/>
    </row>
    <row r="226" spans="1:33" s="299" customFormat="1" ht="44.25" customHeight="1" x14ac:dyDescent="0.5">
      <c r="A226" s="279">
        <v>222</v>
      </c>
      <c r="B226" s="392" t="s">
        <v>501</v>
      </c>
      <c r="C226" s="393">
        <f t="shared" ref="C226:C242" si="33">C225+1</f>
        <v>403</v>
      </c>
      <c r="D226" s="395" t="s">
        <v>465</v>
      </c>
      <c r="E226" s="395" t="s">
        <v>466</v>
      </c>
      <c r="F226" s="205">
        <v>3007982117</v>
      </c>
      <c r="G226" s="205" t="s">
        <v>18</v>
      </c>
      <c r="H226" s="82">
        <v>8000</v>
      </c>
      <c r="I226" s="204">
        <v>34000</v>
      </c>
      <c r="J226" s="416"/>
      <c r="K226" s="415">
        <f t="shared" si="32"/>
        <v>42000</v>
      </c>
      <c r="L226" s="392">
        <v>8000</v>
      </c>
      <c r="M226" s="83" t="s">
        <v>567</v>
      </c>
      <c r="N226" s="83"/>
      <c r="O226" s="83"/>
      <c r="P226" s="392">
        <v>8000</v>
      </c>
      <c r="Q226" s="82" t="s">
        <v>856</v>
      </c>
      <c r="R226" s="82"/>
      <c r="S226" s="82"/>
      <c r="T226" s="392">
        <v>9000</v>
      </c>
      <c r="U226" s="82">
        <v>940</v>
      </c>
      <c r="V226" s="82"/>
      <c r="W226" s="82"/>
      <c r="X226" s="392">
        <v>9000</v>
      </c>
      <c r="Y226" s="82" t="s">
        <v>1160</v>
      </c>
      <c r="Z226" s="82"/>
      <c r="AA226" s="83"/>
      <c r="AB226" s="82"/>
      <c r="AC226" s="392"/>
      <c r="AD226" s="392">
        <f t="shared" si="30"/>
        <v>34000</v>
      </c>
      <c r="AE226" s="392">
        <f t="shared" si="31"/>
        <v>-8000</v>
      </c>
      <c r="AF226" s="427"/>
      <c r="AG226" s="298"/>
    </row>
    <row r="227" spans="1:33" s="299" customFormat="1" ht="44.25" customHeight="1" x14ac:dyDescent="0.5">
      <c r="A227" s="279">
        <v>223</v>
      </c>
      <c r="B227" s="392" t="s">
        <v>501</v>
      </c>
      <c r="C227" s="393">
        <f t="shared" si="33"/>
        <v>404</v>
      </c>
      <c r="D227" s="395" t="s">
        <v>467</v>
      </c>
      <c r="E227" s="395" t="s">
        <v>468</v>
      </c>
      <c r="F227" s="205">
        <v>3007982117</v>
      </c>
      <c r="G227" s="205" t="s">
        <v>18</v>
      </c>
      <c r="H227" s="82">
        <v>8000</v>
      </c>
      <c r="I227" s="204">
        <v>34000</v>
      </c>
      <c r="J227" s="416"/>
      <c r="K227" s="415">
        <f t="shared" si="32"/>
        <v>42000</v>
      </c>
      <c r="L227" s="392">
        <v>8000</v>
      </c>
      <c r="M227" s="83" t="s">
        <v>566</v>
      </c>
      <c r="N227" s="83"/>
      <c r="O227" s="83"/>
      <c r="P227" s="392">
        <v>8000</v>
      </c>
      <c r="Q227" s="82" t="s">
        <v>857</v>
      </c>
      <c r="R227" s="82"/>
      <c r="S227" s="82"/>
      <c r="T227" s="392">
        <v>9000</v>
      </c>
      <c r="U227" s="82">
        <v>939</v>
      </c>
      <c r="V227" s="82"/>
      <c r="W227" s="82"/>
      <c r="X227" s="392">
        <v>9000</v>
      </c>
      <c r="Y227" s="82" t="s">
        <v>1159</v>
      </c>
      <c r="Z227" s="82"/>
      <c r="AA227" s="83"/>
      <c r="AB227" s="82"/>
      <c r="AC227" s="392"/>
      <c r="AD227" s="392">
        <f t="shared" si="30"/>
        <v>34000</v>
      </c>
      <c r="AE227" s="392">
        <f t="shared" si="31"/>
        <v>-8000</v>
      </c>
      <c r="AF227" s="427"/>
      <c r="AG227" s="298"/>
    </row>
    <row r="228" spans="1:33" s="299" customFormat="1" ht="44.25" customHeight="1" x14ac:dyDescent="0.5">
      <c r="A228" s="279">
        <v>224</v>
      </c>
      <c r="B228" s="392" t="s">
        <v>501</v>
      </c>
      <c r="C228" s="396">
        <f t="shared" si="33"/>
        <v>405</v>
      </c>
      <c r="D228" s="395" t="s">
        <v>486</v>
      </c>
      <c r="E228" s="394" t="s">
        <v>487</v>
      </c>
      <c r="F228" s="205">
        <v>3053370963</v>
      </c>
      <c r="G228" s="204" t="s">
        <v>21</v>
      </c>
      <c r="H228" s="82">
        <v>8000</v>
      </c>
      <c r="I228" s="206">
        <v>32000</v>
      </c>
      <c r="J228" s="416"/>
      <c r="K228" s="415">
        <f t="shared" si="32"/>
        <v>40000</v>
      </c>
      <c r="L228" s="392">
        <v>4000</v>
      </c>
      <c r="M228" s="83" t="s">
        <v>570</v>
      </c>
      <c r="N228" s="83"/>
      <c r="O228" s="83"/>
      <c r="P228" s="392">
        <v>10000</v>
      </c>
      <c r="Q228" s="82" t="s">
        <v>1054</v>
      </c>
      <c r="R228" s="82"/>
      <c r="S228" s="82"/>
      <c r="T228" s="392">
        <v>10000</v>
      </c>
      <c r="U228" s="82" t="s">
        <v>1168</v>
      </c>
      <c r="V228" s="82"/>
      <c r="W228" s="82"/>
      <c r="X228" s="392"/>
      <c r="Y228" s="82"/>
      <c r="Z228" s="82"/>
      <c r="AA228" s="83"/>
      <c r="AB228" s="82"/>
      <c r="AC228" s="392"/>
      <c r="AD228" s="392">
        <f t="shared" si="30"/>
        <v>24000</v>
      </c>
      <c r="AE228" s="392">
        <f t="shared" si="31"/>
        <v>-16000</v>
      </c>
      <c r="AF228" s="427"/>
      <c r="AG228" s="298"/>
    </row>
    <row r="229" spans="1:33" s="299" customFormat="1" ht="44.25" customHeight="1" x14ac:dyDescent="0.5">
      <c r="A229" s="279">
        <v>225</v>
      </c>
      <c r="B229" s="392" t="s">
        <v>501</v>
      </c>
      <c r="C229" s="396">
        <f t="shared" si="33"/>
        <v>406</v>
      </c>
      <c r="D229" s="395" t="s">
        <v>469</v>
      </c>
      <c r="E229" s="395" t="s">
        <v>470</v>
      </c>
      <c r="F229" s="205">
        <v>3212890467</v>
      </c>
      <c r="G229" s="204" t="s">
        <v>21</v>
      </c>
      <c r="H229" s="82">
        <v>8000</v>
      </c>
      <c r="I229" s="204">
        <v>32000</v>
      </c>
      <c r="J229" s="416"/>
      <c r="K229" s="415">
        <f t="shared" si="32"/>
        <v>40000</v>
      </c>
      <c r="L229" s="392">
        <v>6000</v>
      </c>
      <c r="M229" s="83" t="s">
        <v>662</v>
      </c>
      <c r="N229" s="83"/>
      <c r="O229" s="83"/>
      <c r="P229" s="392"/>
      <c r="Q229" s="82"/>
      <c r="R229" s="82"/>
      <c r="S229" s="82"/>
      <c r="T229" s="392">
        <v>17000</v>
      </c>
      <c r="U229" s="82" t="s">
        <v>1057</v>
      </c>
      <c r="V229" s="82"/>
      <c r="W229" s="82"/>
      <c r="X229" s="392"/>
      <c r="Y229" s="82"/>
      <c r="Z229" s="82"/>
      <c r="AA229" s="83"/>
      <c r="AB229" s="82"/>
      <c r="AC229" s="392"/>
      <c r="AD229" s="392">
        <f t="shared" si="30"/>
        <v>23000</v>
      </c>
      <c r="AE229" s="392">
        <f t="shared" si="31"/>
        <v>-17000</v>
      </c>
      <c r="AF229" s="427"/>
      <c r="AG229" s="298"/>
    </row>
    <row r="230" spans="1:33" s="299" customFormat="1" ht="44.25" customHeight="1" x14ac:dyDescent="0.5">
      <c r="A230" s="279">
        <v>226</v>
      </c>
      <c r="B230" s="392" t="s">
        <v>501</v>
      </c>
      <c r="C230" s="393">
        <f t="shared" si="33"/>
        <v>407</v>
      </c>
      <c r="D230" s="394" t="s">
        <v>471</v>
      </c>
      <c r="E230" s="394" t="s">
        <v>472</v>
      </c>
      <c r="F230" s="205">
        <v>3075874868</v>
      </c>
      <c r="G230" s="204" t="s">
        <v>40</v>
      </c>
      <c r="H230" s="82">
        <v>8000</v>
      </c>
      <c r="I230" s="204">
        <v>32000</v>
      </c>
      <c r="J230" s="392"/>
      <c r="K230" s="415">
        <f t="shared" si="32"/>
        <v>40000</v>
      </c>
      <c r="L230" s="392">
        <v>8000</v>
      </c>
      <c r="M230" s="83" t="s">
        <v>728</v>
      </c>
      <c r="N230" s="83"/>
      <c r="O230" s="83"/>
      <c r="P230" s="392"/>
      <c r="Q230" s="82"/>
      <c r="R230" s="82"/>
      <c r="S230" s="82"/>
      <c r="T230" s="392">
        <v>8000</v>
      </c>
      <c r="U230" s="82" t="s">
        <v>955</v>
      </c>
      <c r="V230" s="82"/>
      <c r="W230" s="82"/>
      <c r="X230" s="392"/>
      <c r="Y230" s="82"/>
      <c r="Z230" s="82"/>
      <c r="AA230" s="83"/>
      <c r="AB230" s="82"/>
      <c r="AC230" s="392"/>
      <c r="AD230" s="392">
        <f t="shared" si="30"/>
        <v>16000</v>
      </c>
      <c r="AE230" s="392">
        <f t="shared" si="31"/>
        <v>-24000</v>
      </c>
      <c r="AF230" s="427"/>
      <c r="AG230" s="298"/>
    </row>
    <row r="231" spans="1:33" s="299" customFormat="1" ht="44.25" customHeight="1" x14ac:dyDescent="0.5">
      <c r="A231" s="279">
        <v>227</v>
      </c>
      <c r="B231" s="280" t="s">
        <v>501</v>
      </c>
      <c r="C231" s="324">
        <f t="shared" si="33"/>
        <v>408</v>
      </c>
      <c r="D231" s="293" t="s">
        <v>275</v>
      </c>
      <c r="E231" s="293" t="s">
        <v>473</v>
      </c>
      <c r="F231" s="205">
        <v>3187419645</v>
      </c>
      <c r="G231" s="204" t="s">
        <v>28</v>
      </c>
      <c r="H231" s="108">
        <v>8000</v>
      </c>
      <c r="I231" s="146">
        <v>27000</v>
      </c>
      <c r="J231" s="417"/>
      <c r="K231" s="295">
        <f t="shared" si="32"/>
        <v>35000</v>
      </c>
      <c r="L231" s="280">
        <v>8000</v>
      </c>
      <c r="M231" s="83" t="s">
        <v>642</v>
      </c>
      <c r="N231" s="83"/>
      <c r="O231" s="83"/>
      <c r="P231" s="280">
        <f>10000+7000</f>
        <v>17000</v>
      </c>
      <c r="Q231" s="82" t="s">
        <v>899</v>
      </c>
      <c r="R231" s="82"/>
      <c r="S231" s="82"/>
      <c r="T231" s="280"/>
      <c r="U231" s="82"/>
      <c r="V231" s="82"/>
      <c r="W231" s="82"/>
      <c r="X231" s="280">
        <v>10000</v>
      </c>
      <c r="Y231" s="108" t="s">
        <v>1141</v>
      </c>
      <c r="Z231" s="82"/>
      <c r="AA231" s="83"/>
      <c r="AB231" s="82"/>
      <c r="AC231" s="280"/>
      <c r="AD231" s="280">
        <f t="shared" si="30"/>
        <v>35000</v>
      </c>
      <c r="AE231" s="280">
        <f t="shared" si="31"/>
        <v>0</v>
      </c>
      <c r="AF231" s="297"/>
      <c r="AG231" s="298"/>
    </row>
    <row r="232" spans="1:33" s="299" customFormat="1" ht="44.25" customHeight="1" x14ac:dyDescent="0.5">
      <c r="A232" s="279">
        <v>228</v>
      </c>
      <c r="B232" s="392" t="s">
        <v>501</v>
      </c>
      <c r="C232" s="393">
        <f t="shared" si="33"/>
        <v>409</v>
      </c>
      <c r="D232" s="394" t="s">
        <v>474</v>
      </c>
      <c r="E232" s="395" t="s">
        <v>442</v>
      </c>
      <c r="F232" s="205">
        <v>3322160300</v>
      </c>
      <c r="G232" s="204" t="s">
        <v>21</v>
      </c>
      <c r="H232" s="82">
        <v>8000</v>
      </c>
      <c r="I232" s="204">
        <v>37000</v>
      </c>
      <c r="J232" s="416"/>
      <c r="K232" s="415">
        <f t="shared" si="32"/>
        <v>45000</v>
      </c>
      <c r="L232" s="392">
        <v>8000</v>
      </c>
      <c r="M232" s="83" t="s">
        <v>653</v>
      </c>
      <c r="N232" s="83"/>
      <c r="O232" s="83"/>
      <c r="P232" s="392">
        <v>8000</v>
      </c>
      <c r="Q232" s="82" t="s">
        <v>863</v>
      </c>
      <c r="R232" s="82"/>
      <c r="S232" s="82"/>
      <c r="T232" s="392">
        <v>10000</v>
      </c>
      <c r="U232" s="82" t="s">
        <v>999</v>
      </c>
      <c r="V232" s="82"/>
      <c r="W232" s="82"/>
      <c r="X232" s="392">
        <v>9000</v>
      </c>
      <c r="Y232" s="82" t="s">
        <v>1174</v>
      </c>
      <c r="Z232" s="82"/>
      <c r="AA232" s="83"/>
      <c r="AB232" s="82"/>
      <c r="AC232" s="392"/>
      <c r="AD232" s="392">
        <f t="shared" si="30"/>
        <v>35000</v>
      </c>
      <c r="AE232" s="392">
        <f t="shared" si="31"/>
        <v>-10000</v>
      </c>
      <c r="AF232" s="427"/>
      <c r="AG232" s="298"/>
    </row>
    <row r="233" spans="1:33" s="299" customFormat="1" ht="44.25" customHeight="1" x14ac:dyDescent="0.5">
      <c r="A233" s="279">
        <v>229</v>
      </c>
      <c r="B233" s="392" t="s">
        <v>501</v>
      </c>
      <c r="C233" s="396">
        <f t="shared" si="33"/>
        <v>410</v>
      </c>
      <c r="D233" s="395" t="s">
        <v>475</v>
      </c>
      <c r="E233" s="395" t="s">
        <v>165</v>
      </c>
      <c r="F233" s="205">
        <v>3004240464</v>
      </c>
      <c r="G233" s="204" t="s">
        <v>34</v>
      </c>
      <c r="H233" s="82">
        <v>8000</v>
      </c>
      <c r="I233" s="206">
        <v>35000</v>
      </c>
      <c r="J233" s="416"/>
      <c r="K233" s="415">
        <f t="shared" si="32"/>
        <v>43000</v>
      </c>
      <c r="L233" s="392"/>
      <c r="M233" s="83"/>
      <c r="N233" s="83"/>
      <c r="O233" s="83"/>
      <c r="P233" s="392"/>
      <c r="Q233" s="82"/>
      <c r="R233" s="82"/>
      <c r="S233" s="82"/>
      <c r="T233" s="392"/>
      <c r="U233" s="82"/>
      <c r="V233" s="82"/>
      <c r="W233" s="82"/>
      <c r="X233" s="392">
        <v>18000</v>
      </c>
      <c r="Y233" s="82" t="s">
        <v>1190</v>
      </c>
      <c r="Z233" s="82"/>
      <c r="AA233" s="83"/>
      <c r="AB233" s="82"/>
      <c r="AC233" s="392"/>
      <c r="AD233" s="392">
        <f t="shared" si="30"/>
        <v>18000</v>
      </c>
      <c r="AE233" s="392">
        <f t="shared" si="31"/>
        <v>-25000</v>
      </c>
      <c r="AF233" s="427"/>
      <c r="AG233" s="298"/>
    </row>
    <row r="234" spans="1:33" s="299" customFormat="1" ht="44.25" customHeight="1" x14ac:dyDescent="0.5">
      <c r="A234" s="279">
        <v>230</v>
      </c>
      <c r="B234" s="392" t="s">
        <v>501</v>
      </c>
      <c r="C234" s="393">
        <f t="shared" si="33"/>
        <v>411</v>
      </c>
      <c r="D234" s="394" t="s">
        <v>476</v>
      </c>
      <c r="E234" s="395" t="s">
        <v>477</v>
      </c>
      <c r="F234" s="205"/>
      <c r="G234" s="204" t="s">
        <v>19</v>
      </c>
      <c r="H234" s="82">
        <v>8000</v>
      </c>
      <c r="I234" s="206">
        <v>30000</v>
      </c>
      <c r="J234" s="418"/>
      <c r="K234" s="415">
        <f t="shared" si="32"/>
        <v>38000</v>
      </c>
      <c r="L234" s="392">
        <v>5000</v>
      </c>
      <c r="M234" s="83" t="s">
        <v>686</v>
      </c>
      <c r="N234" s="83"/>
      <c r="O234" s="83"/>
      <c r="P234" s="392"/>
      <c r="Q234" s="82"/>
      <c r="R234" s="82"/>
      <c r="S234" s="82"/>
      <c r="T234" s="392">
        <v>16500</v>
      </c>
      <c r="U234" s="82" t="s">
        <v>951</v>
      </c>
      <c r="V234" s="82"/>
      <c r="W234" s="82"/>
      <c r="X234" s="392"/>
      <c r="Y234" s="82"/>
      <c r="Z234" s="82"/>
      <c r="AA234" s="83"/>
      <c r="AB234" s="82"/>
      <c r="AC234" s="392"/>
      <c r="AD234" s="392">
        <f t="shared" si="30"/>
        <v>21500</v>
      </c>
      <c r="AE234" s="392">
        <f t="shared" si="31"/>
        <v>-16500</v>
      </c>
      <c r="AF234" s="427"/>
      <c r="AG234" s="298"/>
    </row>
    <row r="235" spans="1:33" s="299" customFormat="1" ht="44.25" customHeight="1" x14ac:dyDescent="0.5">
      <c r="A235" s="279">
        <v>231</v>
      </c>
      <c r="B235" s="392" t="s">
        <v>501</v>
      </c>
      <c r="C235" s="393">
        <f t="shared" si="33"/>
        <v>412</v>
      </c>
      <c r="D235" s="394" t="s">
        <v>480</v>
      </c>
      <c r="E235" s="395" t="s">
        <v>481</v>
      </c>
      <c r="F235" s="205"/>
      <c r="G235" s="204" t="s">
        <v>139</v>
      </c>
      <c r="H235" s="82">
        <v>8000</v>
      </c>
      <c r="I235" s="204">
        <v>40000</v>
      </c>
      <c r="J235" s="418"/>
      <c r="K235" s="415">
        <f t="shared" si="32"/>
        <v>48000</v>
      </c>
      <c r="L235" s="392">
        <v>8000</v>
      </c>
      <c r="M235" s="83" t="s">
        <v>690</v>
      </c>
      <c r="N235" s="83"/>
      <c r="O235" s="83"/>
      <c r="P235" s="392"/>
      <c r="Q235" s="82"/>
      <c r="R235" s="82"/>
      <c r="S235" s="82"/>
      <c r="T235" s="392">
        <v>10000</v>
      </c>
      <c r="U235" s="82" t="s">
        <v>1015</v>
      </c>
      <c r="V235" s="82"/>
      <c r="W235" s="82"/>
      <c r="X235" s="392"/>
      <c r="Y235" s="82"/>
      <c r="Z235" s="82"/>
      <c r="AA235" s="83"/>
      <c r="AB235" s="82"/>
      <c r="AC235" s="392"/>
      <c r="AD235" s="392">
        <f t="shared" si="30"/>
        <v>18000</v>
      </c>
      <c r="AE235" s="392">
        <f t="shared" si="31"/>
        <v>-30000</v>
      </c>
      <c r="AF235" s="427"/>
      <c r="AG235" s="298"/>
    </row>
    <row r="236" spans="1:33" s="299" customFormat="1" ht="44.25" customHeight="1" x14ac:dyDescent="0.5">
      <c r="A236" s="279">
        <v>232</v>
      </c>
      <c r="B236" s="392" t="s">
        <v>501</v>
      </c>
      <c r="C236" s="393">
        <f t="shared" si="33"/>
        <v>413</v>
      </c>
      <c r="D236" s="395" t="s">
        <v>494</v>
      </c>
      <c r="E236" s="394" t="s">
        <v>495</v>
      </c>
      <c r="F236" s="205">
        <v>3057265670</v>
      </c>
      <c r="G236" s="204" t="s">
        <v>40</v>
      </c>
      <c r="H236" s="82">
        <v>8000</v>
      </c>
      <c r="I236" s="204">
        <v>32000</v>
      </c>
      <c r="J236" s="418"/>
      <c r="K236" s="415">
        <f t="shared" si="32"/>
        <v>40000</v>
      </c>
      <c r="L236" s="392">
        <v>8000</v>
      </c>
      <c r="M236" s="83" t="s">
        <v>720</v>
      </c>
      <c r="N236" s="83"/>
      <c r="O236" s="83"/>
      <c r="P236" s="392"/>
      <c r="Q236" s="82"/>
      <c r="R236" s="82"/>
      <c r="S236" s="82"/>
      <c r="T236" s="392">
        <v>16000</v>
      </c>
      <c r="U236" s="82" t="s">
        <v>995</v>
      </c>
      <c r="V236" s="82"/>
      <c r="W236" s="82"/>
      <c r="X236" s="392"/>
      <c r="Y236" s="82"/>
      <c r="Z236" s="82"/>
      <c r="AA236" s="83"/>
      <c r="AB236" s="82"/>
      <c r="AC236" s="392"/>
      <c r="AD236" s="392">
        <f t="shared" si="30"/>
        <v>24000</v>
      </c>
      <c r="AE236" s="392">
        <f t="shared" si="31"/>
        <v>-16000</v>
      </c>
      <c r="AF236" s="427"/>
      <c r="AG236" s="298"/>
    </row>
    <row r="237" spans="1:33" s="299" customFormat="1" ht="44.25" customHeight="1" x14ac:dyDescent="0.5">
      <c r="A237" s="279">
        <v>233</v>
      </c>
      <c r="B237" s="280" t="s">
        <v>501</v>
      </c>
      <c r="C237" s="324">
        <f t="shared" si="33"/>
        <v>414</v>
      </c>
      <c r="D237" s="294" t="s">
        <v>479</v>
      </c>
      <c r="E237" s="293" t="s">
        <v>178</v>
      </c>
      <c r="F237" s="205">
        <v>3414599453</v>
      </c>
      <c r="G237" s="204" t="s">
        <v>26</v>
      </c>
      <c r="H237" s="108">
        <v>8000</v>
      </c>
      <c r="I237" s="207">
        <v>32000</v>
      </c>
      <c r="J237" s="419"/>
      <c r="K237" s="295">
        <f t="shared" si="32"/>
        <v>40000</v>
      </c>
      <c r="L237" s="280">
        <v>8000</v>
      </c>
      <c r="M237" s="83" t="s">
        <v>668</v>
      </c>
      <c r="N237" s="83"/>
      <c r="O237" s="83"/>
      <c r="P237" s="280">
        <v>32000</v>
      </c>
      <c r="Q237" s="82" t="s">
        <v>792</v>
      </c>
      <c r="R237" s="82"/>
      <c r="S237" s="82"/>
      <c r="T237" s="280"/>
      <c r="U237" s="82"/>
      <c r="V237" s="82"/>
      <c r="W237" s="82"/>
      <c r="X237" s="280"/>
      <c r="Y237" s="108"/>
      <c r="Z237" s="82"/>
      <c r="AA237" s="83"/>
      <c r="AB237" s="82"/>
      <c r="AC237" s="280"/>
      <c r="AD237" s="280">
        <f t="shared" si="30"/>
        <v>40000</v>
      </c>
      <c r="AE237" s="280">
        <f t="shared" si="31"/>
        <v>0</v>
      </c>
      <c r="AF237" s="297"/>
      <c r="AG237" s="298"/>
    </row>
    <row r="238" spans="1:33" s="299" customFormat="1" ht="44.25" customHeight="1" x14ac:dyDescent="0.5">
      <c r="A238" s="279">
        <v>234</v>
      </c>
      <c r="B238" s="392" t="s">
        <v>501</v>
      </c>
      <c r="C238" s="396">
        <f t="shared" si="33"/>
        <v>415</v>
      </c>
      <c r="D238" s="395" t="s">
        <v>518</v>
      </c>
      <c r="E238" s="395" t="s">
        <v>519</v>
      </c>
      <c r="F238" s="205">
        <v>3000570262</v>
      </c>
      <c r="G238" s="204" t="s">
        <v>520</v>
      </c>
      <c r="H238" s="82">
        <v>8000</v>
      </c>
      <c r="I238" s="206">
        <v>32000</v>
      </c>
      <c r="J238" s="392"/>
      <c r="K238" s="415">
        <f t="shared" si="32"/>
        <v>40000</v>
      </c>
      <c r="L238" s="392">
        <v>8000</v>
      </c>
      <c r="M238" s="83" t="s">
        <v>767</v>
      </c>
      <c r="N238" s="83"/>
      <c r="O238" s="83"/>
      <c r="P238" s="392"/>
      <c r="Q238" s="82"/>
      <c r="R238" s="82"/>
      <c r="S238" s="82"/>
      <c r="T238" s="392"/>
      <c r="U238" s="82"/>
      <c r="V238" s="82"/>
      <c r="W238" s="82"/>
      <c r="X238" s="392"/>
      <c r="Y238" s="82"/>
      <c r="Z238" s="82"/>
      <c r="AA238" s="83"/>
      <c r="AB238" s="82"/>
      <c r="AC238" s="392"/>
      <c r="AD238" s="392">
        <f t="shared" si="30"/>
        <v>8000</v>
      </c>
      <c r="AE238" s="392">
        <f t="shared" si="31"/>
        <v>-32000</v>
      </c>
      <c r="AF238" s="427"/>
      <c r="AG238" s="298"/>
    </row>
    <row r="239" spans="1:33" s="299" customFormat="1" ht="44.25" customHeight="1" x14ac:dyDescent="0.5">
      <c r="A239" s="279">
        <v>235</v>
      </c>
      <c r="B239" s="392" t="s">
        <v>501</v>
      </c>
      <c r="C239" s="396">
        <f t="shared" si="33"/>
        <v>416</v>
      </c>
      <c r="D239" s="394" t="s">
        <v>478</v>
      </c>
      <c r="E239" s="395" t="s">
        <v>342</v>
      </c>
      <c r="F239" s="205"/>
      <c r="G239" s="204" t="s">
        <v>19</v>
      </c>
      <c r="H239" s="82">
        <v>8000</v>
      </c>
      <c r="I239" s="204">
        <v>30000</v>
      </c>
      <c r="J239" s="416"/>
      <c r="K239" s="415">
        <f t="shared" si="32"/>
        <v>38000</v>
      </c>
      <c r="L239" s="392">
        <v>5000</v>
      </c>
      <c r="M239" s="83" t="s">
        <v>687</v>
      </c>
      <c r="N239" s="83"/>
      <c r="O239" s="83"/>
      <c r="P239" s="392"/>
      <c r="Q239" s="82"/>
      <c r="R239" s="82"/>
      <c r="S239" s="82"/>
      <c r="T239" s="392"/>
      <c r="U239" s="82"/>
      <c r="V239" s="82"/>
      <c r="W239" s="82"/>
      <c r="X239" s="392"/>
      <c r="Y239" s="82"/>
      <c r="Z239" s="82"/>
      <c r="AA239" s="83"/>
      <c r="AB239" s="82"/>
      <c r="AC239" s="392"/>
      <c r="AD239" s="392">
        <f t="shared" si="30"/>
        <v>5000</v>
      </c>
      <c r="AE239" s="392">
        <f t="shared" si="31"/>
        <v>-33000</v>
      </c>
      <c r="AF239" s="427"/>
      <c r="AG239" s="298"/>
    </row>
    <row r="240" spans="1:33" s="299" customFormat="1" ht="44.25" customHeight="1" x14ac:dyDescent="0.5">
      <c r="A240" s="279">
        <v>236</v>
      </c>
      <c r="B240" s="392" t="s">
        <v>501</v>
      </c>
      <c r="C240" s="396">
        <f t="shared" si="33"/>
        <v>417</v>
      </c>
      <c r="D240" s="395" t="s">
        <v>451</v>
      </c>
      <c r="E240" s="395" t="s">
        <v>452</v>
      </c>
      <c r="F240" s="205"/>
      <c r="G240" s="204" t="s">
        <v>38</v>
      </c>
      <c r="H240" s="82">
        <v>8000</v>
      </c>
      <c r="I240" s="206">
        <v>45000</v>
      </c>
      <c r="J240" s="416"/>
      <c r="K240" s="415">
        <f t="shared" si="32"/>
        <v>53000</v>
      </c>
      <c r="L240" s="392">
        <v>8000</v>
      </c>
      <c r="M240" s="83" t="s">
        <v>556</v>
      </c>
      <c r="N240" s="83"/>
      <c r="O240" s="83"/>
      <c r="P240" s="392"/>
      <c r="Q240" s="82"/>
      <c r="R240" s="82"/>
      <c r="S240" s="82"/>
      <c r="T240" s="392"/>
      <c r="U240" s="82"/>
      <c r="V240" s="82"/>
      <c r="W240" s="82"/>
      <c r="X240" s="392"/>
      <c r="Y240" s="82"/>
      <c r="Z240" s="82"/>
      <c r="AA240" s="83"/>
      <c r="AB240" s="82"/>
      <c r="AC240" s="392"/>
      <c r="AD240" s="392">
        <f t="shared" si="30"/>
        <v>8000</v>
      </c>
      <c r="AE240" s="392">
        <f t="shared" si="31"/>
        <v>-45000</v>
      </c>
      <c r="AF240" s="427"/>
      <c r="AG240" s="298"/>
    </row>
    <row r="241" spans="1:34" s="299" customFormat="1" ht="44.25" customHeight="1" x14ac:dyDescent="0.5">
      <c r="A241" s="279">
        <v>237</v>
      </c>
      <c r="B241" s="397" t="s">
        <v>501</v>
      </c>
      <c r="C241" s="398">
        <f t="shared" si="33"/>
        <v>418</v>
      </c>
      <c r="D241" s="399" t="s">
        <v>482</v>
      </c>
      <c r="E241" s="399" t="s">
        <v>483</v>
      </c>
      <c r="F241" s="209"/>
      <c r="G241" s="208" t="s">
        <v>19</v>
      </c>
      <c r="H241" s="85">
        <v>0</v>
      </c>
      <c r="I241" s="210"/>
      <c r="J241" s="420"/>
      <c r="K241" s="421">
        <f t="shared" si="32"/>
        <v>0</v>
      </c>
      <c r="L241" s="397">
        <v>5000</v>
      </c>
      <c r="M241" s="86" t="s">
        <v>685</v>
      </c>
      <c r="N241" s="86"/>
      <c r="O241" s="86"/>
      <c r="P241" s="397"/>
      <c r="Q241" s="85"/>
      <c r="R241" s="85"/>
      <c r="S241" s="85"/>
      <c r="T241" s="397"/>
      <c r="U241" s="85"/>
      <c r="V241" s="85"/>
      <c r="W241" s="85"/>
      <c r="X241" s="397"/>
      <c r="Y241" s="85"/>
      <c r="Z241" s="85"/>
      <c r="AA241" s="86"/>
      <c r="AB241" s="85"/>
      <c r="AC241" s="397"/>
      <c r="AD241" s="397">
        <f t="shared" si="30"/>
        <v>5000</v>
      </c>
      <c r="AE241" s="397">
        <f t="shared" si="31"/>
        <v>5000</v>
      </c>
      <c r="AF241" s="428"/>
      <c r="AG241" s="298"/>
    </row>
    <row r="242" spans="1:34" s="299" customFormat="1" ht="44.25" customHeight="1" thickBot="1" x14ac:dyDescent="0.55000000000000004">
      <c r="A242" s="279">
        <v>238</v>
      </c>
      <c r="B242" s="392" t="s">
        <v>501</v>
      </c>
      <c r="C242" s="393">
        <f t="shared" si="33"/>
        <v>419</v>
      </c>
      <c r="D242" s="400" t="s">
        <v>521</v>
      </c>
      <c r="E242" s="400" t="s">
        <v>198</v>
      </c>
      <c r="F242" s="211">
        <v>3484115091</v>
      </c>
      <c r="G242" s="212" t="s">
        <v>462</v>
      </c>
      <c r="H242" s="82">
        <v>8000</v>
      </c>
      <c r="I242" s="213">
        <v>32000</v>
      </c>
      <c r="J242" s="416"/>
      <c r="K242" s="415">
        <f t="shared" si="32"/>
        <v>40000</v>
      </c>
      <c r="L242" s="392">
        <v>8000</v>
      </c>
      <c r="M242" s="83" t="s">
        <v>766</v>
      </c>
      <c r="N242" s="83"/>
      <c r="O242" s="83"/>
      <c r="P242" s="392"/>
      <c r="Q242" s="82"/>
      <c r="R242" s="82"/>
      <c r="S242" s="82"/>
      <c r="T242" s="392">
        <v>16000</v>
      </c>
      <c r="U242" s="82">
        <v>942</v>
      </c>
      <c r="V242" s="82"/>
      <c r="W242" s="82"/>
      <c r="X242" s="392"/>
      <c r="Y242" s="82"/>
      <c r="Z242" s="82"/>
      <c r="AA242" s="83"/>
      <c r="AB242" s="82"/>
      <c r="AC242" s="392"/>
      <c r="AD242" s="392">
        <f t="shared" si="30"/>
        <v>24000</v>
      </c>
      <c r="AE242" s="392">
        <f t="shared" si="31"/>
        <v>-16000</v>
      </c>
      <c r="AF242" s="427"/>
      <c r="AG242" s="298"/>
    </row>
    <row r="243" spans="1:34" s="299" customFormat="1" ht="44.25" customHeight="1" x14ac:dyDescent="0.5">
      <c r="A243" s="279">
        <v>239</v>
      </c>
      <c r="B243" s="401" t="s">
        <v>533</v>
      </c>
      <c r="C243" s="402">
        <v>301</v>
      </c>
      <c r="D243" s="403" t="s">
        <v>484</v>
      </c>
      <c r="E243" s="404" t="s">
        <v>485</v>
      </c>
      <c r="F243" s="215">
        <v>3223802341</v>
      </c>
      <c r="G243" s="214" t="s">
        <v>30</v>
      </c>
      <c r="H243" s="71">
        <v>8000</v>
      </c>
      <c r="I243" s="214">
        <v>32000</v>
      </c>
      <c r="J243" s="422"/>
      <c r="K243" s="423">
        <f t="shared" si="32"/>
        <v>40000</v>
      </c>
      <c r="L243" s="401">
        <v>8000</v>
      </c>
      <c r="M243" s="72" t="s">
        <v>680</v>
      </c>
      <c r="N243" s="72"/>
      <c r="O243" s="72"/>
      <c r="P243" s="401">
        <v>7000</v>
      </c>
      <c r="Q243" s="71" t="s">
        <v>842</v>
      </c>
      <c r="R243" s="71"/>
      <c r="S243" s="71"/>
      <c r="T243" s="401">
        <v>9000</v>
      </c>
      <c r="U243" s="71">
        <v>936</v>
      </c>
      <c r="V243" s="71"/>
      <c r="W243" s="71"/>
      <c r="X243" s="401">
        <v>8000</v>
      </c>
      <c r="Y243" s="71" t="s">
        <v>1091</v>
      </c>
      <c r="Z243" s="71"/>
      <c r="AA243" s="72"/>
      <c r="AB243" s="71"/>
      <c r="AC243" s="401"/>
      <c r="AD243" s="401">
        <f t="shared" si="30"/>
        <v>32000</v>
      </c>
      <c r="AE243" s="401">
        <f t="shared" si="31"/>
        <v>-8000</v>
      </c>
      <c r="AF243" s="429"/>
      <c r="AG243" s="298"/>
    </row>
    <row r="244" spans="1:34" s="299" customFormat="1" ht="44.25" customHeight="1" x14ac:dyDescent="0.5">
      <c r="A244" s="279">
        <v>240</v>
      </c>
      <c r="B244" s="401" t="s">
        <v>533</v>
      </c>
      <c r="C244" s="405">
        <f t="shared" ref="C244:C254" si="34">C243+1</f>
        <v>302</v>
      </c>
      <c r="D244" s="406" t="s">
        <v>488</v>
      </c>
      <c r="E244" s="406" t="s">
        <v>489</v>
      </c>
      <c r="F244" s="217">
        <v>3045060935</v>
      </c>
      <c r="G244" s="216" t="s">
        <v>32</v>
      </c>
      <c r="H244" s="71">
        <v>8000</v>
      </c>
      <c r="I244" s="216">
        <v>37000</v>
      </c>
      <c r="J244" s="422"/>
      <c r="K244" s="423">
        <f t="shared" si="32"/>
        <v>45000</v>
      </c>
      <c r="L244" s="401">
        <v>8000</v>
      </c>
      <c r="M244" s="72" t="s">
        <v>745</v>
      </c>
      <c r="N244" s="72"/>
      <c r="O244" s="72"/>
      <c r="P244" s="401"/>
      <c r="Q244" s="71"/>
      <c r="R244" s="71"/>
      <c r="S244" s="71"/>
      <c r="T244" s="401">
        <v>20000</v>
      </c>
      <c r="U244" s="71" t="s">
        <v>1008</v>
      </c>
      <c r="V244" s="71"/>
      <c r="W244" s="71"/>
      <c r="X244" s="401"/>
      <c r="Y244" s="71"/>
      <c r="Z244" s="71"/>
      <c r="AA244" s="72"/>
      <c r="AB244" s="71"/>
      <c r="AC244" s="401"/>
      <c r="AD244" s="401">
        <f t="shared" si="30"/>
        <v>28000</v>
      </c>
      <c r="AE244" s="401">
        <f t="shared" si="31"/>
        <v>-17000</v>
      </c>
      <c r="AF244" s="429"/>
      <c r="AG244" s="298"/>
    </row>
    <row r="245" spans="1:34" s="299" customFormat="1" ht="44.25" customHeight="1" x14ac:dyDescent="0.5">
      <c r="A245" s="279">
        <v>241</v>
      </c>
      <c r="B245" s="401" t="s">
        <v>533</v>
      </c>
      <c r="C245" s="405">
        <f t="shared" si="34"/>
        <v>303</v>
      </c>
      <c r="D245" s="407" t="s">
        <v>490</v>
      </c>
      <c r="E245" s="407" t="s">
        <v>253</v>
      </c>
      <c r="F245" s="217">
        <v>3013953100</v>
      </c>
      <c r="G245" s="216" t="s">
        <v>18</v>
      </c>
      <c r="H245" s="71">
        <v>8000</v>
      </c>
      <c r="I245" s="216">
        <v>37000</v>
      </c>
      <c r="J245" s="422"/>
      <c r="K245" s="423">
        <f t="shared" si="32"/>
        <v>45000</v>
      </c>
      <c r="L245" s="401">
        <v>8000</v>
      </c>
      <c r="M245" s="72" t="s">
        <v>649</v>
      </c>
      <c r="N245" s="72"/>
      <c r="O245" s="72"/>
      <c r="P245" s="401">
        <v>9000</v>
      </c>
      <c r="Q245" s="71" t="s">
        <v>865</v>
      </c>
      <c r="R245" s="71"/>
      <c r="S245" s="71"/>
      <c r="T245" s="401">
        <v>9500</v>
      </c>
      <c r="U245" s="71" t="s">
        <v>1012</v>
      </c>
      <c r="V245" s="71"/>
      <c r="W245" s="71"/>
      <c r="X245" s="401"/>
      <c r="Y245" s="71"/>
      <c r="Z245" s="71"/>
      <c r="AA245" s="72"/>
      <c r="AB245" s="71"/>
      <c r="AC245" s="401"/>
      <c r="AD245" s="401">
        <f t="shared" si="30"/>
        <v>26500</v>
      </c>
      <c r="AE245" s="401">
        <f t="shared" si="31"/>
        <v>-18500</v>
      </c>
      <c r="AF245" s="429"/>
      <c r="AG245" s="298"/>
    </row>
    <row r="246" spans="1:34" s="299" customFormat="1" ht="44.25" customHeight="1" x14ac:dyDescent="0.5">
      <c r="A246" s="279">
        <v>242</v>
      </c>
      <c r="B246" s="401" t="s">
        <v>533</v>
      </c>
      <c r="C246" s="408">
        <f t="shared" si="34"/>
        <v>304</v>
      </c>
      <c r="D246" s="409" t="s">
        <v>491</v>
      </c>
      <c r="E246" s="407" t="s">
        <v>492</v>
      </c>
      <c r="F246" s="217">
        <v>3261806533</v>
      </c>
      <c r="G246" s="216" t="s">
        <v>139</v>
      </c>
      <c r="H246" s="71">
        <v>8000</v>
      </c>
      <c r="I246" s="216">
        <v>32000</v>
      </c>
      <c r="J246" s="422"/>
      <c r="K246" s="423">
        <f t="shared" si="32"/>
        <v>40000</v>
      </c>
      <c r="L246" s="401">
        <v>8000</v>
      </c>
      <c r="M246" s="72" t="s">
        <v>747</v>
      </c>
      <c r="N246" s="72"/>
      <c r="O246" s="72"/>
      <c r="P246" s="401"/>
      <c r="Q246" s="71"/>
      <c r="R246" s="71"/>
      <c r="S246" s="71"/>
      <c r="T246" s="401"/>
      <c r="U246" s="71"/>
      <c r="V246" s="71"/>
      <c r="W246" s="71"/>
      <c r="X246" s="401"/>
      <c r="Y246" s="71"/>
      <c r="Z246" s="71"/>
      <c r="AA246" s="72"/>
      <c r="AB246" s="71"/>
      <c r="AC246" s="401"/>
      <c r="AD246" s="401">
        <f t="shared" si="30"/>
        <v>8000</v>
      </c>
      <c r="AE246" s="401">
        <f t="shared" si="31"/>
        <v>-32000</v>
      </c>
      <c r="AF246" s="429"/>
      <c r="AG246" s="298"/>
      <c r="AH246" s="298"/>
    </row>
    <row r="247" spans="1:34" s="299" customFormat="1" ht="44.25" customHeight="1" x14ac:dyDescent="0.5">
      <c r="A247" s="279">
        <v>243</v>
      </c>
      <c r="B247" s="401" t="s">
        <v>533</v>
      </c>
      <c r="C247" s="405">
        <f t="shared" si="34"/>
        <v>305</v>
      </c>
      <c r="D247" s="407" t="s">
        <v>371</v>
      </c>
      <c r="E247" s="407" t="s">
        <v>372</v>
      </c>
      <c r="F247" s="217">
        <v>3261546919</v>
      </c>
      <c r="G247" s="216" t="s">
        <v>18</v>
      </c>
      <c r="H247" s="71">
        <v>8000</v>
      </c>
      <c r="I247" s="216">
        <v>36000</v>
      </c>
      <c r="J247" s="424"/>
      <c r="K247" s="423">
        <f t="shared" si="32"/>
        <v>44000</v>
      </c>
      <c r="L247" s="401">
        <v>8000</v>
      </c>
      <c r="M247" s="72" t="s">
        <v>712</v>
      </c>
      <c r="N247" s="72"/>
      <c r="O247" s="72"/>
      <c r="P247" s="401">
        <v>10000</v>
      </c>
      <c r="Q247" s="71" t="s">
        <v>1041</v>
      </c>
      <c r="R247" s="71"/>
      <c r="S247" s="71"/>
      <c r="T247" s="401"/>
      <c r="U247" s="71"/>
      <c r="V247" s="71"/>
      <c r="W247" s="71"/>
      <c r="X247" s="401"/>
      <c r="Y247" s="71"/>
      <c r="Z247" s="71"/>
      <c r="AA247" s="72"/>
      <c r="AB247" s="71"/>
      <c r="AC247" s="401"/>
      <c r="AD247" s="401">
        <f t="shared" si="30"/>
        <v>18000</v>
      </c>
      <c r="AE247" s="401">
        <f t="shared" si="31"/>
        <v>-26000</v>
      </c>
      <c r="AF247" s="429"/>
      <c r="AG247" s="298"/>
    </row>
    <row r="248" spans="1:34" s="299" customFormat="1" ht="44.25" customHeight="1" x14ac:dyDescent="0.5">
      <c r="A248" s="279">
        <v>244</v>
      </c>
      <c r="B248" s="401" t="s">
        <v>533</v>
      </c>
      <c r="C248" s="405">
        <f t="shared" si="34"/>
        <v>306</v>
      </c>
      <c r="D248" s="407" t="s">
        <v>493</v>
      </c>
      <c r="E248" s="407" t="s">
        <v>522</v>
      </c>
      <c r="F248" s="217">
        <v>3013207088</v>
      </c>
      <c r="G248" s="216" t="s">
        <v>37</v>
      </c>
      <c r="H248" s="71">
        <v>8000</v>
      </c>
      <c r="I248" s="216">
        <v>27000</v>
      </c>
      <c r="J248" s="422"/>
      <c r="K248" s="423">
        <f t="shared" si="32"/>
        <v>35000</v>
      </c>
      <c r="L248" s="401">
        <v>8000</v>
      </c>
      <c r="M248" s="72" t="s">
        <v>664</v>
      </c>
      <c r="N248" s="72"/>
      <c r="O248" s="72"/>
      <c r="P248" s="401">
        <v>7000</v>
      </c>
      <c r="Q248" s="71" t="s">
        <v>809</v>
      </c>
      <c r="R248" s="71"/>
      <c r="S248" s="71"/>
      <c r="T248" s="401">
        <v>7000</v>
      </c>
      <c r="U248" s="71">
        <v>958</v>
      </c>
      <c r="V248" s="71"/>
      <c r="W248" s="71"/>
      <c r="X248" s="401">
        <v>7000</v>
      </c>
      <c r="Y248" s="71" t="s">
        <v>1161</v>
      </c>
      <c r="Z248" s="71"/>
      <c r="AA248" s="72"/>
      <c r="AB248" s="71"/>
      <c r="AC248" s="401"/>
      <c r="AD248" s="401">
        <f t="shared" si="30"/>
        <v>29000</v>
      </c>
      <c r="AE248" s="401">
        <f t="shared" si="31"/>
        <v>-6000</v>
      </c>
      <c r="AF248" s="429"/>
      <c r="AG248" s="298"/>
    </row>
    <row r="249" spans="1:34" s="299" customFormat="1" ht="44.25" customHeight="1" x14ac:dyDescent="0.5">
      <c r="A249" s="279">
        <v>245</v>
      </c>
      <c r="B249" s="401" t="s">
        <v>533</v>
      </c>
      <c r="C249" s="408">
        <f t="shared" si="34"/>
        <v>307</v>
      </c>
      <c r="D249" s="407" t="s">
        <v>523</v>
      </c>
      <c r="E249" s="407" t="s">
        <v>306</v>
      </c>
      <c r="F249" s="217">
        <v>3414012689</v>
      </c>
      <c r="G249" s="216" t="s">
        <v>40</v>
      </c>
      <c r="H249" s="71">
        <v>8000</v>
      </c>
      <c r="I249" s="216">
        <v>32000</v>
      </c>
      <c r="J249" s="422"/>
      <c r="K249" s="423">
        <f t="shared" si="32"/>
        <v>40000</v>
      </c>
      <c r="L249" s="401">
        <v>2000</v>
      </c>
      <c r="M249" s="72" t="s">
        <v>754</v>
      </c>
      <c r="N249" s="72"/>
      <c r="O249" s="72"/>
      <c r="P249" s="401">
        <v>6000</v>
      </c>
      <c r="Q249" s="71" t="s">
        <v>1053</v>
      </c>
      <c r="R249" s="71"/>
      <c r="S249" s="72"/>
      <c r="T249" s="401"/>
      <c r="U249" s="71"/>
      <c r="V249" s="71"/>
      <c r="W249" s="71"/>
      <c r="X249" s="401"/>
      <c r="Y249" s="71"/>
      <c r="Z249" s="71"/>
      <c r="AA249" s="72"/>
      <c r="AB249" s="71"/>
      <c r="AC249" s="401"/>
      <c r="AD249" s="401">
        <f t="shared" si="30"/>
        <v>8000</v>
      </c>
      <c r="AE249" s="401">
        <f t="shared" si="31"/>
        <v>-32000</v>
      </c>
      <c r="AF249" s="429"/>
      <c r="AG249" s="298"/>
    </row>
    <row r="250" spans="1:34" s="299" customFormat="1" ht="44.25" customHeight="1" x14ac:dyDescent="0.5">
      <c r="A250" s="279">
        <v>246</v>
      </c>
      <c r="B250" s="401" t="s">
        <v>533</v>
      </c>
      <c r="C250" s="408">
        <f t="shared" si="34"/>
        <v>308</v>
      </c>
      <c r="D250" s="406" t="s">
        <v>524</v>
      </c>
      <c r="E250" s="406" t="s">
        <v>525</v>
      </c>
      <c r="F250" s="217"/>
      <c r="G250" s="217"/>
      <c r="H250" s="71">
        <v>8000</v>
      </c>
      <c r="I250" s="218">
        <v>40000</v>
      </c>
      <c r="J250" s="422"/>
      <c r="K250" s="423">
        <f t="shared" ref="K250:K281" si="35">I250+J250+H250</f>
        <v>48000</v>
      </c>
      <c r="L250" s="401"/>
      <c r="M250" s="72"/>
      <c r="N250" s="72"/>
      <c r="O250" s="72"/>
      <c r="P250" s="401"/>
      <c r="Q250" s="71"/>
      <c r="R250" s="71"/>
      <c r="S250" s="71"/>
      <c r="T250" s="401">
        <v>10000</v>
      </c>
      <c r="U250" s="71" t="s">
        <v>1172</v>
      </c>
      <c r="V250" s="71"/>
      <c r="W250" s="71"/>
      <c r="X250" s="401"/>
      <c r="Y250" s="71"/>
      <c r="Z250" s="71"/>
      <c r="AA250" s="72"/>
      <c r="AB250" s="71"/>
      <c r="AC250" s="401"/>
      <c r="AD250" s="401">
        <f t="shared" si="30"/>
        <v>10000</v>
      </c>
      <c r="AE250" s="401">
        <f t="shared" si="31"/>
        <v>-38000</v>
      </c>
      <c r="AF250" s="429"/>
      <c r="AG250" s="298"/>
    </row>
    <row r="251" spans="1:34" s="299" customFormat="1" ht="44.25" customHeight="1" x14ac:dyDescent="0.5">
      <c r="A251" s="279">
        <v>247</v>
      </c>
      <c r="B251" s="401" t="s">
        <v>533</v>
      </c>
      <c r="C251" s="405">
        <f t="shared" si="34"/>
        <v>309</v>
      </c>
      <c r="D251" s="407" t="s">
        <v>526</v>
      </c>
      <c r="E251" s="407" t="s">
        <v>371</v>
      </c>
      <c r="F251" s="217">
        <v>3077565325</v>
      </c>
      <c r="G251" s="219"/>
      <c r="H251" s="71">
        <v>8000</v>
      </c>
      <c r="I251" s="216">
        <v>32000</v>
      </c>
      <c r="J251" s="408"/>
      <c r="K251" s="423">
        <f t="shared" si="35"/>
        <v>40000</v>
      </c>
      <c r="L251" s="408">
        <v>8000</v>
      </c>
      <c r="M251" s="84" t="s">
        <v>755</v>
      </c>
      <c r="N251" s="84"/>
      <c r="O251" s="84"/>
      <c r="P251" s="408"/>
      <c r="Q251" s="84"/>
      <c r="R251" s="84"/>
      <c r="S251" s="84"/>
      <c r="T251" s="408">
        <v>8000</v>
      </c>
      <c r="U251" s="84" t="s">
        <v>1170</v>
      </c>
      <c r="V251" s="84"/>
      <c r="W251" s="84"/>
      <c r="X251" s="401">
        <v>8000</v>
      </c>
      <c r="Y251" s="71" t="s">
        <v>1146</v>
      </c>
      <c r="Z251" s="71"/>
      <c r="AA251" s="72"/>
      <c r="AB251" s="71"/>
      <c r="AC251" s="401"/>
      <c r="AD251" s="401">
        <f t="shared" si="30"/>
        <v>24000</v>
      </c>
      <c r="AE251" s="401">
        <f t="shared" si="31"/>
        <v>-16000</v>
      </c>
      <c r="AF251" s="429"/>
      <c r="AG251" s="298"/>
    </row>
    <row r="252" spans="1:34" s="299" customFormat="1" ht="44.25" customHeight="1" x14ac:dyDescent="0.5">
      <c r="A252" s="279">
        <v>248</v>
      </c>
      <c r="B252" s="401" t="s">
        <v>533</v>
      </c>
      <c r="C252" s="405">
        <f t="shared" si="34"/>
        <v>310</v>
      </c>
      <c r="D252" s="409" t="s">
        <v>527</v>
      </c>
      <c r="E252" s="407" t="s">
        <v>528</v>
      </c>
      <c r="F252" s="216">
        <v>3428460479</v>
      </c>
      <c r="G252" s="216" t="s">
        <v>39</v>
      </c>
      <c r="H252" s="71">
        <v>8000</v>
      </c>
      <c r="I252" s="216">
        <v>22000</v>
      </c>
      <c r="J252" s="422">
        <v>50000</v>
      </c>
      <c r="K252" s="423">
        <f t="shared" si="35"/>
        <v>80000</v>
      </c>
      <c r="L252" s="401">
        <v>8000</v>
      </c>
      <c r="M252" s="72" t="s">
        <v>759</v>
      </c>
      <c r="N252" s="72"/>
      <c r="O252" s="72"/>
      <c r="P252" s="401"/>
      <c r="Q252" s="71"/>
      <c r="R252" s="71">
        <f>12000+9000</f>
        <v>21000</v>
      </c>
      <c r="S252" s="71"/>
      <c r="T252" s="401">
        <v>8000</v>
      </c>
      <c r="U252" s="71" t="s">
        <v>1013</v>
      </c>
      <c r="V252" s="71"/>
      <c r="W252" s="71"/>
      <c r="X252" s="401"/>
      <c r="Y252" s="71"/>
      <c r="Z252" s="71"/>
      <c r="AA252" s="72"/>
      <c r="AB252" s="71"/>
      <c r="AC252" s="401"/>
      <c r="AD252" s="401">
        <f t="shared" si="30"/>
        <v>37000</v>
      </c>
      <c r="AE252" s="401">
        <f t="shared" si="31"/>
        <v>-43000</v>
      </c>
      <c r="AF252" s="429"/>
      <c r="AG252" s="298"/>
    </row>
    <row r="253" spans="1:34" s="299" customFormat="1" ht="44.25" customHeight="1" x14ac:dyDescent="0.5">
      <c r="A253" s="279">
        <v>249</v>
      </c>
      <c r="B253" s="401" t="s">
        <v>533</v>
      </c>
      <c r="C253" s="408">
        <f t="shared" si="34"/>
        <v>311</v>
      </c>
      <c r="D253" s="406" t="s">
        <v>529</v>
      </c>
      <c r="E253" s="406" t="s">
        <v>530</v>
      </c>
      <c r="F253" s="217">
        <v>3027950461</v>
      </c>
      <c r="G253" s="217" t="s">
        <v>139</v>
      </c>
      <c r="H253" s="71">
        <v>8000</v>
      </c>
      <c r="I253" s="216">
        <v>30000</v>
      </c>
      <c r="J253" s="422"/>
      <c r="K253" s="423">
        <f t="shared" si="35"/>
        <v>38000</v>
      </c>
      <c r="L253" s="401">
        <v>8000</v>
      </c>
      <c r="M253" s="72" t="s">
        <v>764</v>
      </c>
      <c r="N253" s="72"/>
      <c r="O253" s="72"/>
      <c r="P253" s="401">
        <v>5000</v>
      </c>
      <c r="Q253" s="71" t="s">
        <v>875</v>
      </c>
      <c r="R253" s="71"/>
      <c r="S253" s="71"/>
      <c r="T253" s="401"/>
      <c r="U253" s="71"/>
      <c r="V253" s="71"/>
      <c r="W253" s="71"/>
      <c r="X253" s="401"/>
      <c r="Y253" s="71"/>
      <c r="Z253" s="71"/>
      <c r="AA253" s="72"/>
      <c r="AB253" s="71"/>
      <c r="AC253" s="401"/>
      <c r="AD253" s="401">
        <f t="shared" si="30"/>
        <v>13000</v>
      </c>
      <c r="AE253" s="401">
        <f t="shared" si="31"/>
        <v>-25000</v>
      </c>
      <c r="AF253" s="429"/>
      <c r="AG253" s="298"/>
    </row>
    <row r="254" spans="1:34" s="299" customFormat="1" ht="44.25" customHeight="1" x14ac:dyDescent="0.5">
      <c r="A254" s="279">
        <v>250</v>
      </c>
      <c r="B254" s="401" t="s">
        <v>533</v>
      </c>
      <c r="C254" s="408">
        <f t="shared" si="34"/>
        <v>312</v>
      </c>
      <c r="D254" s="407" t="s">
        <v>531</v>
      </c>
      <c r="E254" s="407" t="s">
        <v>532</v>
      </c>
      <c r="F254" s="216"/>
      <c r="G254" s="216" t="s">
        <v>20</v>
      </c>
      <c r="H254" s="71">
        <v>8000</v>
      </c>
      <c r="I254" s="216">
        <v>24000</v>
      </c>
      <c r="J254" s="424"/>
      <c r="K254" s="423">
        <f t="shared" si="35"/>
        <v>32000</v>
      </c>
      <c r="L254" s="401">
        <v>5000</v>
      </c>
      <c r="M254" s="72" t="s">
        <v>768</v>
      </c>
      <c r="N254" s="72"/>
      <c r="O254" s="72"/>
      <c r="P254" s="401"/>
      <c r="Q254" s="71"/>
      <c r="R254" s="71"/>
      <c r="S254" s="71"/>
      <c r="T254" s="401">
        <v>10000</v>
      </c>
      <c r="U254" s="71" t="s">
        <v>1059</v>
      </c>
      <c r="V254" s="71"/>
      <c r="W254" s="71"/>
      <c r="X254" s="401"/>
      <c r="Y254" s="71"/>
      <c r="Z254" s="71"/>
      <c r="AA254" s="72"/>
      <c r="AB254" s="71"/>
      <c r="AC254" s="401"/>
      <c r="AD254" s="401">
        <f t="shared" si="30"/>
        <v>15000</v>
      </c>
      <c r="AE254" s="401">
        <f t="shared" si="31"/>
        <v>-17000</v>
      </c>
      <c r="AF254" s="429"/>
      <c r="AG254" s="298"/>
    </row>
    <row r="255" spans="1:34" s="299" customFormat="1" ht="44.25" customHeight="1" x14ac:dyDescent="0.5">
      <c r="A255" s="279">
        <v>251</v>
      </c>
      <c r="B255" s="401" t="s">
        <v>533</v>
      </c>
      <c r="C255" s="410">
        <v>313</v>
      </c>
      <c r="D255" s="411" t="s">
        <v>920</v>
      </c>
      <c r="E255" s="411" t="s">
        <v>921</v>
      </c>
      <c r="F255" s="29" t="s">
        <v>922</v>
      </c>
      <c r="G255" s="29" t="s">
        <v>141</v>
      </c>
      <c r="H255" s="27">
        <v>8000</v>
      </c>
      <c r="I255" s="30">
        <v>22000</v>
      </c>
      <c r="J255" s="425">
        <v>50000</v>
      </c>
      <c r="K255" s="426">
        <f t="shared" si="35"/>
        <v>80000</v>
      </c>
      <c r="L255" s="410">
        <v>8000</v>
      </c>
      <c r="M255" s="31" t="s">
        <v>923</v>
      </c>
      <c r="N255" s="31"/>
      <c r="O255" s="31"/>
      <c r="P255" s="410">
        <v>12000</v>
      </c>
      <c r="Q255" s="27" t="s">
        <v>924</v>
      </c>
      <c r="R255" s="27"/>
      <c r="S255" s="27"/>
      <c r="T255" s="410"/>
      <c r="U255" s="27"/>
      <c r="V255" s="27"/>
      <c r="W255" s="27"/>
      <c r="X255" s="410"/>
      <c r="Y255" s="27"/>
      <c r="Z255" s="27"/>
      <c r="AA255" s="31"/>
      <c r="AB255" s="27"/>
      <c r="AC255" s="410"/>
      <c r="AD255" s="410">
        <f t="shared" si="30"/>
        <v>20000</v>
      </c>
      <c r="AE255" s="410">
        <f t="shared" si="31"/>
        <v>-60000</v>
      </c>
      <c r="AF255" s="338"/>
      <c r="AG255" s="298"/>
    </row>
    <row r="256" spans="1:34" s="299" customFormat="1" ht="44.25" customHeight="1" x14ac:dyDescent="0.5">
      <c r="A256" s="279">
        <v>252</v>
      </c>
      <c r="B256" s="401" t="s">
        <v>533</v>
      </c>
      <c r="C256" s="410"/>
      <c r="D256" s="412" t="s">
        <v>1050</v>
      </c>
      <c r="E256" s="413" t="s">
        <v>1048</v>
      </c>
      <c r="F256" s="29"/>
      <c r="G256" s="43">
        <v>467</v>
      </c>
      <c r="H256" s="27">
        <v>8000</v>
      </c>
      <c r="I256" s="38">
        <v>32000</v>
      </c>
      <c r="J256" s="425"/>
      <c r="K256" s="426">
        <f t="shared" si="35"/>
        <v>40000</v>
      </c>
      <c r="L256" s="410">
        <v>8000</v>
      </c>
      <c r="M256" s="31" t="s">
        <v>1049</v>
      </c>
      <c r="N256" s="31"/>
      <c r="O256" s="31"/>
      <c r="P256" s="410">
        <v>7600</v>
      </c>
      <c r="Q256" s="27" t="s">
        <v>1051</v>
      </c>
      <c r="R256" s="27"/>
      <c r="S256" s="27"/>
      <c r="T256" s="410"/>
      <c r="U256" s="27"/>
      <c r="V256" s="27"/>
      <c r="W256" s="27"/>
      <c r="X256" s="410">
        <v>8000</v>
      </c>
      <c r="Y256" s="27" t="s">
        <v>1113</v>
      </c>
      <c r="Z256" s="27"/>
      <c r="AA256" s="31"/>
      <c r="AB256" s="27"/>
      <c r="AC256" s="410"/>
      <c r="AD256" s="410">
        <f t="shared" si="30"/>
        <v>23600</v>
      </c>
      <c r="AE256" s="410">
        <f t="shared" si="31"/>
        <v>-16400</v>
      </c>
      <c r="AF256" s="338"/>
      <c r="AG256" s="298"/>
    </row>
    <row r="257" spans="1:33" s="239" customFormat="1" ht="51.75" customHeight="1" x14ac:dyDescent="0.5">
      <c r="A257" s="233">
        <v>253</v>
      </c>
      <c r="B257" s="276"/>
      <c r="C257" s="276"/>
      <c r="D257" s="277"/>
      <c r="E257" s="277"/>
      <c r="F257" s="29"/>
      <c r="G257" s="29"/>
      <c r="H257" s="27"/>
      <c r="I257" s="38"/>
      <c r="J257" s="39"/>
      <c r="K257" s="278">
        <f t="shared" si="35"/>
        <v>0</v>
      </c>
      <c r="L257" s="276"/>
      <c r="M257" s="31"/>
      <c r="N257" s="31"/>
      <c r="O257" s="31"/>
      <c r="P257" s="276"/>
      <c r="Q257" s="27"/>
      <c r="R257" s="27"/>
      <c r="S257" s="27"/>
      <c r="T257" s="276"/>
      <c r="U257" s="27"/>
      <c r="V257" s="27"/>
      <c r="W257" s="27"/>
      <c r="X257" s="276"/>
      <c r="Y257" s="27"/>
      <c r="Z257" s="27"/>
      <c r="AA257" s="31"/>
      <c r="AB257" s="27"/>
      <c r="AC257" s="276"/>
      <c r="AD257" s="276">
        <f t="shared" si="30"/>
        <v>0</v>
      </c>
      <c r="AE257" s="276">
        <f t="shared" si="31"/>
        <v>0</v>
      </c>
      <c r="AF257" s="262"/>
      <c r="AG257" s="238"/>
    </row>
    <row r="258" spans="1:33" s="239" customFormat="1" ht="51.75" customHeight="1" x14ac:dyDescent="0.5">
      <c r="A258" s="233">
        <v>254</v>
      </c>
      <c r="B258" s="276"/>
      <c r="C258" s="276"/>
      <c r="D258" s="277"/>
      <c r="E258" s="277"/>
      <c r="F258" s="29"/>
      <c r="G258" s="29"/>
      <c r="H258" s="27"/>
      <c r="I258" s="44"/>
      <c r="J258" s="39"/>
      <c r="K258" s="278">
        <f t="shared" si="35"/>
        <v>0</v>
      </c>
      <c r="L258" s="276"/>
      <c r="M258" s="31"/>
      <c r="N258" s="31"/>
      <c r="O258" s="31"/>
      <c r="P258" s="276"/>
      <c r="Q258" s="27"/>
      <c r="R258" s="27"/>
      <c r="S258" s="27"/>
      <c r="T258" s="276"/>
      <c r="U258" s="27"/>
      <c r="V258" s="27"/>
      <c r="W258" s="27"/>
      <c r="X258" s="276"/>
      <c r="Y258" s="27"/>
      <c r="Z258" s="27"/>
      <c r="AA258" s="31"/>
      <c r="AB258" s="27"/>
      <c r="AC258" s="276"/>
      <c r="AD258" s="276">
        <f t="shared" si="30"/>
        <v>0</v>
      </c>
      <c r="AE258" s="276">
        <f t="shared" si="31"/>
        <v>0</v>
      </c>
      <c r="AF258" s="262"/>
      <c r="AG258" s="238"/>
    </row>
    <row r="259" spans="1:33" s="34" customFormat="1" ht="24" customHeight="1" x14ac:dyDescent="0.35">
      <c r="A259" s="59">
        <v>255</v>
      </c>
      <c r="B259" s="27"/>
      <c r="C259" s="27"/>
      <c r="D259" s="25"/>
      <c r="E259" s="28"/>
      <c r="F259" s="29"/>
      <c r="G259" s="29"/>
      <c r="H259" s="27"/>
      <c r="I259" s="27"/>
      <c r="J259" s="39"/>
      <c r="K259" s="30">
        <f t="shared" si="35"/>
        <v>0</v>
      </c>
      <c r="L259" s="27"/>
      <c r="M259" s="31"/>
      <c r="N259" s="31"/>
      <c r="O259" s="31"/>
      <c r="P259" s="27"/>
      <c r="Q259" s="27"/>
      <c r="R259" s="27"/>
      <c r="S259" s="27"/>
      <c r="T259" s="27"/>
      <c r="U259" s="31"/>
      <c r="V259" s="31"/>
      <c r="W259" s="31"/>
      <c r="X259" s="27"/>
      <c r="Y259" s="27"/>
      <c r="Z259" s="27"/>
      <c r="AA259" s="31"/>
      <c r="AB259" s="27"/>
      <c r="AC259" s="27"/>
      <c r="AD259" s="27">
        <f t="shared" ref="AD259:AD321" si="36">L259+P259+T259+X259+AB259+N259+R259+V259+Z259</f>
        <v>0</v>
      </c>
      <c r="AE259" s="27">
        <f t="shared" ref="AE259:AE321" si="37">AD259-K259</f>
        <v>0</v>
      </c>
      <c r="AF259" s="32"/>
      <c r="AG259" s="33"/>
    </row>
    <row r="260" spans="1:33" s="34" customFormat="1" ht="24" customHeight="1" x14ac:dyDescent="0.35">
      <c r="A260" s="59">
        <v>256</v>
      </c>
      <c r="B260" s="27"/>
      <c r="C260" s="27"/>
      <c r="D260" s="26"/>
      <c r="E260" s="26"/>
      <c r="F260" s="29"/>
      <c r="G260" s="29"/>
      <c r="H260" s="27"/>
      <c r="I260" s="44"/>
      <c r="J260" s="39"/>
      <c r="K260" s="30">
        <f t="shared" si="35"/>
        <v>0</v>
      </c>
      <c r="L260" s="27"/>
      <c r="M260" s="31"/>
      <c r="N260" s="31"/>
      <c r="O260" s="31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31"/>
      <c r="AB260" s="27"/>
      <c r="AC260" s="27"/>
      <c r="AD260" s="27">
        <f t="shared" si="36"/>
        <v>0</v>
      </c>
      <c r="AE260" s="27">
        <f t="shared" si="37"/>
        <v>0</v>
      </c>
      <c r="AF260" s="32"/>
      <c r="AG260" s="33"/>
    </row>
    <row r="261" spans="1:33" s="34" customFormat="1" ht="24" customHeight="1" x14ac:dyDescent="0.35">
      <c r="A261" s="59">
        <v>257</v>
      </c>
      <c r="B261" s="27"/>
      <c r="C261" s="27"/>
      <c r="D261" s="26"/>
      <c r="E261" s="26"/>
      <c r="F261" s="29"/>
      <c r="G261" s="29"/>
      <c r="H261" s="27"/>
      <c r="I261" s="44"/>
      <c r="J261" s="39"/>
      <c r="K261" s="30">
        <f t="shared" si="35"/>
        <v>0</v>
      </c>
      <c r="L261" s="27"/>
      <c r="M261" s="31"/>
      <c r="N261" s="31"/>
      <c r="O261" s="31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31"/>
      <c r="AB261" s="27"/>
      <c r="AC261" s="27"/>
      <c r="AD261" s="27">
        <f t="shared" si="36"/>
        <v>0</v>
      </c>
      <c r="AE261" s="27">
        <f t="shared" si="37"/>
        <v>0</v>
      </c>
      <c r="AF261" s="32"/>
      <c r="AG261" s="33"/>
    </row>
    <row r="262" spans="1:33" s="34" customFormat="1" ht="24" customHeight="1" x14ac:dyDescent="0.35">
      <c r="A262" s="59">
        <v>258</v>
      </c>
      <c r="B262" s="27"/>
      <c r="C262" s="27"/>
      <c r="D262" s="26"/>
      <c r="E262" s="26"/>
      <c r="F262" s="29"/>
      <c r="G262" s="29"/>
      <c r="H262" s="27"/>
      <c r="I262" s="44"/>
      <c r="J262" s="39"/>
      <c r="K262" s="30">
        <f t="shared" si="35"/>
        <v>0</v>
      </c>
      <c r="L262" s="27"/>
      <c r="M262" s="31"/>
      <c r="N262" s="31"/>
      <c r="O262" s="31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31"/>
      <c r="AB262" s="27"/>
      <c r="AC262" s="27"/>
      <c r="AD262" s="27">
        <f t="shared" si="36"/>
        <v>0</v>
      </c>
      <c r="AE262" s="27">
        <f t="shared" si="37"/>
        <v>0</v>
      </c>
      <c r="AF262" s="32"/>
      <c r="AG262" s="33"/>
    </row>
    <row r="263" spans="1:33" s="34" customFormat="1" ht="24" customHeight="1" x14ac:dyDescent="0.35">
      <c r="A263" s="59">
        <v>259</v>
      </c>
      <c r="B263" s="27"/>
      <c r="C263" s="27"/>
      <c r="D263" s="31"/>
      <c r="E263" s="31"/>
      <c r="F263" s="31"/>
      <c r="G263" s="31"/>
      <c r="H263" s="27"/>
      <c r="I263" s="31"/>
      <c r="J263" s="31"/>
      <c r="K263" s="30">
        <f t="shared" si="35"/>
        <v>0</v>
      </c>
      <c r="L263" s="31"/>
      <c r="M263" s="31"/>
      <c r="N263" s="31"/>
      <c r="O263" s="31"/>
      <c r="P263" s="31"/>
      <c r="Q263" s="31"/>
      <c r="R263" s="31"/>
      <c r="S263" s="31"/>
      <c r="T263" s="27"/>
      <c r="U263" s="27"/>
      <c r="V263" s="31"/>
      <c r="W263" s="31"/>
      <c r="X263" s="27"/>
      <c r="Y263" s="27"/>
      <c r="Z263" s="27"/>
      <c r="AA263" s="31"/>
      <c r="AB263" s="27"/>
      <c r="AC263" s="27"/>
      <c r="AD263" s="27">
        <f t="shared" si="36"/>
        <v>0</v>
      </c>
      <c r="AE263" s="27">
        <f t="shared" si="37"/>
        <v>0</v>
      </c>
      <c r="AF263" s="32"/>
      <c r="AG263" s="33"/>
    </row>
    <row r="264" spans="1:33" s="34" customFormat="1" ht="24" customHeight="1" x14ac:dyDescent="0.35">
      <c r="A264" s="59">
        <v>260</v>
      </c>
      <c r="B264" s="27"/>
      <c r="C264" s="27"/>
      <c r="D264" s="31"/>
      <c r="E264" s="31"/>
      <c r="F264" s="31"/>
      <c r="G264" s="31"/>
      <c r="H264" s="27"/>
      <c r="I264" s="31"/>
      <c r="J264" s="31"/>
      <c r="K264" s="30">
        <f t="shared" si="35"/>
        <v>0</v>
      </c>
      <c r="L264" s="31"/>
      <c r="M264" s="31"/>
      <c r="N264" s="31"/>
      <c r="O264" s="31"/>
      <c r="P264" s="31"/>
      <c r="Q264" s="31"/>
      <c r="R264" s="31"/>
      <c r="S264" s="31"/>
      <c r="T264" s="27"/>
      <c r="U264" s="27"/>
      <c r="V264" s="27"/>
      <c r="W264" s="27"/>
      <c r="X264" s="27"/>
      <c r="Y264" s="27"/>
      <c r="Z264" s="27"/>
      <c r="AA264" s="31"/>
      <c r="AB264" s="27"/>
      <c r="AC264" s="27"/>
      <c r="AD264" s="27">
        <f t="shared" si="36"/>
        <v>0</v>
      </c>
      <c r="AE264" s="27">
        <f t="shared" si="37"/>
        <v>0</v>
      </c>
      <c r="AF264" s="32"/>
      <c r="AG264" s="33"/>
    </row>
    <row r="265" spans="1:33" s="34" customFormat="1" ht="24" customHeight="1" x14ac:dyDescent="0.35">
      <c r="A265" s="59">
        <v>261</v>
      </c>
      <c r="B265" s="27"/>
      <c r="C265" s="27"/>
      <c r="D265" s="31"/>
      <c r="E265" s="31"/>
      <c r="F265" s="31"/>
      <c r="G265" s="31"/>
      <c r="H265" s="27"/>
      <c r="I265" s="31"/>
      <c r="J265" s="31"/>
      <c r="K265" s="30">
        <f t="shared" si="35"/>
        <v>0</v>
      </c>
      <c r="L265" s="31"/>
      <c r="M265" s="31"/>
      <c r="N265" s="31"/>
      <c r="O265" s="31"/>
      <c r="P265" s="31"/>
      <c r="Q265" s="31"/>
      <c r="R265" s="31"/>
      <c r="S265" s="31"/>
      <c r="T265" s="27"/>
      <c r="U265" s="27"/>
      <c r="V265" s="27"/>
      <c r="W265" s="27"/>
      <c r="X265" s="27"/>
      <c r="Y265" s="27"/>
      <c r="Z265" s="27"/>
      <c r="AA265" s="31"/>
      <c r="AB265" s="27"/>
      <c r="AC265" s="27"/>
      <c r="AD265" s="27">
        <f t="shared" si="36"/>
        <v>0</v>
      </c>
      <c r="AE265" s="27">
        <f t="shared" si="37"/>
        <v>0</v>
      </c>
      <c r="AF265" s="32"/>
      <c r="AG265" s="33"/>
    </row>
    <row r="266" spans="1:33" s="34" customFormat="1" ht="24" customHeight="1" x14ac:dyDescent="0.35">
      <c r="A266" s="59">
        <v>262</v>
      </c>
      <c r="B266" s="27"/>
      <c r="C266" s="27"/>
      <c r="D266" s="31"/>
      <c r="E266" s="31"/>
      <c r="F266" s="31"/>
      <c r="G266" s="31"/>
      <c r="H266" s="27"/>
      <c r="I266" s="31"/>
      <c r="J266" s="31"/>
      <c r="K266" s="30">
        <f t="shared" si="35"/>
        <v>0</v>
      </c>
      <c r="L266" s="31"/>
      <c r="M266" s="31"/>
      <c r="N266" s="31"/>
      <c r="O266" s="31"/>
      <c r="P266" s="31"/>
      <c r="Q266" s="31"/>
      <c r="R266" s="31"/>
      <c r="S266" s="31"/>
      <c r="T266" s="27"/>
      <c r="U266" s="27"/>
      <c r="V266" s="27"/>
      <c r="W266" s="27"/>
      <c r="X266" s="27"/>
      <c r="Y266" s="27"/>
      <c r="Z266" s="27"/>
      <c r="AA266" s="31"/>
      <c r="AB266" s="27"/>
      <c r="AC266" s="27"/>
      <c r="AD266" s="27">
        <f t="shared" si="36"/>
        <v>0</v>
      </c>
      <c r="AE266" s="27">
        <f t="shared" si="37"/>
        <v>0</v>
      </c>
      <c r="AF266" s="32"/>
      <c r="AG266" s="33"/>
    </row>
    <row r="267" spans="1:33" s="34" customFormat="1" ht="24" customHeight="1" x14ac:dyDescent="0.35">
      <c r="A267" s="59">
        <v>263</v>
      </c>
      <c r="B267" s="27"/>
      <c r="C267" s="27"/>
      <c r="D267" s="31"/>
      <c r="E267" s="31"/>
      <c r="F267" s="31"/>
      <c r="G267" s="31"/>
      <c r="H267" s="27"/>
      <c r="I267" s="31"/>
      <c r="J267" s="31"/>
      <c r="K267" s="30">
        <f t="shared" si="35"/>
        <v>0</v>
      </c>
      <c r="L267" s="31"/>
      <c r="M267" s="31"/>
      <c r="N267" s="31"/>
      <c r="O267" s="31"/>
      <c r="P267" s="31"/>
      <c r="Q267" s="31"/>
      <c r="R267" s="31"/>
      <c r="S267" s="31"/>
      <c r="T267" s="27"/>
      <c r="U267" s="27"/>
      <c r="V267" s="27"/>
      <c r="W267" s="27"/>
      <c r="X267" s="27"/>
      <c r="Y267" s="27"/>
      <c r="Z267" s="27"/>
      <c r="AA267" s="31"/>
      <c r="AB267" s="27"/>
      <c r="AC267" s="27"/>
      <c r="AD267" s="27">
        <f t="shared" si="36"/>
        <v>0</v>
      </c>
      <c r="AE267" s="27">
        <f t="shared" si="37"/>
        <v>0</v>
      </c>
      <c r="AF267" s="32"/>
      <c r="AG267" s="33"/>
    </row>
    <row r="268" spans="1:33" s="34" customFormat="1" ht="24" customHeight="1" x14ac:dyDescent="0.35">
      <c r="A268" s="59">
        <v>264</v>
      </c>
      <c r="B268" s="27"/>
      <c r="C268" s="27"/>
      <c r="D268" s="31"/>
      <c r="E268" s="31"/>
      <c r="F268" s="31"/>
      <c r="G268" s="31"/>
      <c r="H268" s="27"/>
      <c r="I268" s="31"/>
      <c r="J268" s="31"/>
      <c r="K268" s="30">
        <f t="shared" si="35"/>
        <v>0</v>
      </c>
      <c r="L268" s="31"/>
      <c r="M268" s="31"/>
      <c r="N268" s="31"/>
      <c r="O268" s="31"/>
      <c r="P268" s="31"/>
      <c r="Q268" s="31"/>
      <c r="R268" s="31"/>
      <c r="S268" s="31"/>
      <c r="T268" s="27"/>
      <c r="U268" s="27"/>
      <c r="V268" s="27"/>
      <c r="W268" s="27"/>
      <c r="X268" s="27"/>
      <c r="Y268" s="27"/>
      <c r="Z268" s="27"/>
      <c r="AA268" s="31"/>
      <c r="AB268" s="27"/>
      <c r="AC268" s="27"/>
      <c r="AD268" s="27">
        <f t="shared" si="36"/>
        <v>0</v>
      </c>
      <c r="AE268" s="27">
        <f t="shared" si="37"/>
        <v>0</v>
      </c>
      <c r="AF268" s="32"/>
      <c r="AG268" s="33"/>
    </row>
    <row r="269" spans="1:33" s="34" customFormat="1" ht="24" customHeight="1" x14ac:dyDescent="0.35">
      <c r="A269" s="59">
        <v>265</v>
      </c>
      <c r="B269" s="27"/>
      <c r="C269" s="27"/>
      <c r="D269" s="31"/>
      <c r="E269" s="31"/>
      <c r="F269" s="31"/>
      <c r="G269" s="31"/>
      <c r="H269" s="27"/>
      <c r="I269" s="31"/>
      <c r="J269" s="31"/>
      <c r="K269" s="30">
        <f t="shared" si="35"/>
        <v>0</v>
      </c>
      <c r="L269" s="31"/>
      <c r="M269" s="31"/>
      <c r="N269" s="31"/>
      <c r="O269" s="31"/>
      <c r="P269" s="31"/>
      <c r="Q269" s="31"/>
      <c r="R269" s="31"/>
      <c r="S269" s="31"/>
      <c r="T269" s="27"/>
      <c r="U269" s="27"/>
      <c r="V269" s="27"/>
      <c r="W269" s="27"/>
      <c r="X269" s="27"/>
      <c r="Y269" s="27"/>
      <c r="Z269" s="27"/>
      <c r="AA269" s="31"/>
      <c r="AB269" s="27"/>
      <c r="AC269" s="27"/>
      <c r="AD269" s="27">
        <f t="shared" si="36"/>
        <v>0</v>
      </c>
      <c r="AE269" s="27">
        <f t="shared" si="37"/>
        <v>0</v>
      </c>
      <c r="AF269" s="32"/>
      <c r="AG269" s="33"/>
    </row>
    <row r="270" spans="1:33" s="34" customFormat="1" ht="24" customHeight="1" x14ac:dyDescent="0.35">
      <c r="A270" s="59">
        <v>266</v>
      </c>
      <c r="B270" s="27"/>
      <c r="C270" s="27"/>
      <c r="D270" s="26"/>
      <c r="E270" s="26"/>
      <c r="F270" s="29"/>
      <c r="G270" s="29"/>
      <c r="H270" s="27"/>
      <c r="I270" s="44"/>
      <c r="J270" s="39"/>
      <c r="K270" s="30">
        <f t="shared" si="35"/>
        <v>0</v>
      </c>
      <c r="L270" s="27"/>
      <c r="M270" s="31"/>
      <c r="N270" s="31"/>
      <c r="O270" s="31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31"/>
      <c r="AB270" s="27"/>
      <c r="AC270" s="27"/>
      <c r="AD270" s="27">
        <f t="shared" si="36"/>
        <v>0</v>
      </c>
      <c r="AE270" s="27">
        <f t="shared" si="37"/>
        <v>0</v>
      </c>
      <c r="AF270" s="32"/>
      <c r="AG270" s="33"/>
    </row>
    <row r="271" spans="1:33" s="34" customFormat="1" ht="24" customHeight="1" x14ac:dyDescent="0.35">
      <c r="A271" s="59">
        <v>267</v>
      </c>
      <c r="B271" s="27"/>
      <c r="C271" s="27"/>
      <c r="D271" s="45"/>
      <c r="E271" s="46"/>
      <c r="F271" s="47"/>
      <c r="G271" s="47"/>
      <c r="H271" s="27"/>
      <c r="I271" s="44"/>
      <c r="J271" s="41"/>
      <c r="K271" s="30">
        <f t="shared" si="35"/>
        <v>0</v>
      </c>
      <c r="L271" s="27"/>
      <c r="M271" s="31"/>
      <c r="N271" s="31"/>
      <c r="O271" s="31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31"/>
      <c r="AB271" s="27"/>
      <c r="AC271" s="27"/>
      <c r="AD271" s="27">
        <f t="shared" si="36"/>
        <v>0</v>
      </c>
      <c r="AE271" s="27">
        <f t="shared" si="37"/>
        <v>0</v>
      </c>
      <c r="AF271" s="32"/>
      <c r="AG271" s="33"/>
    </row>
    <row r="272" spans="1:33" s="34" customFormat="1" ht="24" customHeight="1" x14ac:dyDescent="0.35">
      <c r="A272" s="59">
        <v>268</v>
      </c>
      <c r="B272" s="27"/>
      <c r="C272" s="27"/>
      <c r="D272" s="26"/>
      <c r="E272" s="26"/>
      <c r="F272" s="29"/>
      <c r="G272" s="29"/>
      <c r="H272" s="27"/>
      <c r="I272" s="44"/>
      <c r="J272" s="39"/>
      <c r="K272" s="30">
        <f t="shared" si="35"/>
        <v>0</v>
      </c>
      <c r="L272" s="27"/>
      <c r="M272" s="31"/>
      <c r="N272" s="31"/>
      <c r="O272" s="31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31"/>
      <c r="AB272" s="27"/>
      <c r="AC272" s="27"/>
      <c r="AD272" s="27">
        <f t="shared" si="36"/>
        <v>0</v>
      </c>
      <c r="AE272" s="27">
        <f t="shared" si="37"/>
        <v>0</v>
      </c>
      <c r="AF272" s="32"/>
      <c r="AG272" s="33"/>
    </row>
    <row r="273" spans="1:35" s="34" customFormat="1" ht="24" customHeight="1" x14ac:dyDescent="0.35">
      <c r="A273" s="59">
        <v>269</v>
      </c>
      <c r="B273" s="27"/>
      <c r="C273" s="27"/>
      <c r="D273" s="45"/>
      <c r="E273" s="46"/>
      <c r="F273" s="47"/>
      <c r="G273" s="47"/>
      <c r="H273" s="27"/>
      <c r="I273" s="44"/>
      <c r="J273" s="41"/>
      <c r="K273" s="30">
        <f t="shared" si="35"/>
        <v>0</v>
      </c>
      <c r="L273" s="27"/>
      <c r="M273" s="31"/>
      <c r="N273" s="31"/>
      <c r="O273" s="31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31"/>
      <c r="AB273" s="27"/>
      <c r="AC273" s="27"/>
      <c r="AD273" s="27">
        <f t="shared" si="36"/>
        <v>0</v>
      </c>
      <c r="AE273" s="27">
        <f t="shared" si="37"/>
        <v>0</v>
      </c>
      <c r="AF273" s="32"/>
      <c r="AG273" s="33"/>
    </row>
    <row r="274" spans="1:35" s="34" customFormat="1" ht="24" customHeight="1" x14ac:dyDescent="0.35">
      <c r="A274" s="59">
        <v>270</v>
      </c>
      <c r="B274" s="27"/>
      <c r="C274" s="27"/>
      <c r="D274" s="26"/>
      <c r="E274" s="26"/>
      <c r="F274" s="29"/>
      <c r="G274" s="29"/>
      <c r="H274" s="27"/>
      <c r="I274" s="44"/>
      <c r="J274" s="39"/>
      <c r="K274" s="30">
        <f t="shared" si="35"/>
        <v>0</v>
      </c>
      <c r="L274" s="27"/>
      <c r="M274" s="31"/>
      <c r="N274" s="31"/>
      <c r="O274" s="31"/>
      <c r="P274" s="27"/>
      <c r="Q274" s="27"/>
      <c r="R274" s="27"/>
      <c r="S274" s="27"/>
      <c r="T274" s="27"/>
      <c r="U274" s="27"/>
      <c r="V274" s="27"/>
      <c r="X274" s="27"/>
      <c r="Y274" s="27"/>
      <c r="Z274" s="27"/>
      <c r="AA274" s="31"/>
      <c r="AB274" s="27"/>
      <c r="AC274" s="27"/>
      <c r="AD274" s="27">
        <f t="shared" si="36"/>
        <v>0</v>
      </c>
      <c r="AE274" s="27">
        <f t="shared" si="37"/>
        <v>0</v>
      </c>
      <c r="AF274" s="32"/>
      <c r="AG274" s="33"/>
    </row>
    <row r="275" spans="1:35" s="34" customFormat="1" ht="24" customHeight="1" x14ac:dyDescent="0.35">
      <c r="A275" s="59">
        <v>271</v>
      </c>
      <c r="B275" s="27"/>
      <c r="C275" s="27"/>
      <c r="D275" s="45"/>
      <c r="E275" s="46"/>
      <c r="F275" s="47"/>
      <c r="G275" s="47"/>
      <c r="H275" s="27"/>
      <c r="I275" s="44"/>
      <c r="J275" s="41"/>
      <c r="K275" s="30">
        <f t="shared" si="35"/>
        <v>0</v>
      </c>
      <c r="L275" s="27"/>
      <c r="M275" s="31"/>
      <c r="N275" s="31"/>
      <c r="O275" s="31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31"/>
      <c r="AB275" s="27"/>
      <c r="AC275" s="27"/>
      <c r="AD275" s="27">
        <f t="shared" si="36"/>
        <v>0</v>
      </c>
      <c r="AE275" s="27">
        <f t="shared" si="37"/>
        <v>0</v>
      </c>
      <c r="AF275" s="32"/>
      <c r="AG275" s="33"/>
      <c r="AI275" s="33"/>
    </row>
    <row r="276" spans="1:35" s="34" customFormat="1" ht="24" customHeight="1" x14ac:dyDescent="0.35">
      <c r="A276" s="59">
        <v>272</v>
      </c>
      <c r="B276" s="27"/>
      <c r="C276" s="27"/>
      <c r="D276" s="26"/>
      <c r="E276" s="26"/>
      <c r="F276" s="29"/>
      <c r="G276" s="29"/>
      <c r="H276" s="27"/>
      <c r="I276" s="44"/>
      <c r="J276" s="39"/>
      <c r="K276" s="30">
        <f t="shared" si="35"/>
        <v>0</v>
      </c>
      <c r="L276" s="27"/>
      <c r="M276" s="31"/>
      <c r="N276" s="31"/>
      <c r="O276" s="31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31"/>
      <c r="AB276" s="27"/>
      <c r="AC276" s="27"/>
      <c r="AD276" s="27">
        <f t="shared" si="36"/>
        <v>0</v>
      </c>
      <c r="AE276" s="27">
        <f t="shared" si="37"/>
        <v>0</v>
      </c>
      <c r="AF276" s="32"/>
      <c r="AG276" s="33"/>
    </row>
    <row r="277" spans="1:35" s="34" customFormat="1" ht="24" customHeight="1" x14ac:dyDescent="0.35">
      <c r="A277" s="59">
        <v>273</v>
      </c>
      <c r="B277" s="27"/>
      <c r="C277" s="27"/>
      <c r="D277" s="26"/>
      <c r="E277" s="26"/>
      <c r="F277" s="29"/>
      <c r="G277" s="29"/>
      <c r="H277" s="27"/>
      <c r="I277" s="44"/>
      <c r="J277" s="39"/>
      <c r="K277" s="30">
        <f t="shared" si="35"/>
        <v>0</v>
      </c>
      <c r="L277" s="27"/>
      <c r="M277" s="31"/>
      <c r="N277" s="31"/>
      <c r="O277" s="31"/>
      <c r="P277" s="27"/>
      <c r="Q277" s="27"/>
      <c r="R277" s="27"/>
      <c r="S277" s="27"/>
      <c r="T277" s="27"/>
      <c r="U277" s="27"/>
      <c r="X277" s="27"/>
      <c r="Y277" s="27"/>
      <c r="Z277" s="27"/>
      <c r="AA277" s="31"/>
      <c r="AB277" s="27"/>
      <c r="AC277" s="27"/>
      <c r="AD277" s="27">
        <f t="shared" si="36"/>
        <v>0</v>
      </c>
      <c r="AE277" s="27">
        <f t="shared" si="37"/>
        <v>0</v>
      </c>
      <c r="AF277" s="32"/>
      <c r="AG277" s="33"/>
    </row>
    <row r="278" spans="1:35" s="34" customFormat="1" ht="24" customHeight="1" x14ac:dyDescent="0.35">
      <c r="A278" s="59">
        <v>274</v>
      </c>
      <c r="B278" s="27"/>
      <c r="C278" s="27"/>
      <c r="D278" s="26"/>
      <c r="E278" s="26"/>
      <c r="F278" s="29"/>
      <c r="G278" s="29"/>
      <c r="H278" s="27"/>
      <c r="I278" s="44"/>
      <c r="J278" s="39"/>
      <c r="K278" s="30">
        <f t="shared" si="35"/>
        <v>0</v>
      </c>
      <c r="L278" s="27"/>
      <c r="M278" s="31"/>
      <c r="N278" s="31"/>
      <c r="O278" s="31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31"/>
      <c r="AB278" s="27"/>
      <c r="AC278" s="27"/>
      <c r="AD278" s="27">
        <f t="shared" si="36"/>
        <v>0</v>
      </c>
      <c r="AE278" s="27">
        <f t="shared" si="37"/>
        <v>0</v>
      </c>
      <c r="AF278" s="32"/>
      <c r="AG278" s="33"/>
    </row>
    <row r="279" spans="1:35" s="34" customFormat="1" ht="24" customHeight="1" x14ac:dyDescent="0.35">
      <c r="A279" s="59">
        <v>275</v>
      </c>
      <c r="B279" s="27"/>
      <c r="C279" s="27"/>
      <c r="D279" s="26"/>
      <c r="E279" s="26"/>
      <c r="F279" s="29"/>
      <c r="G279" s="29"/>
      <c r="H279" s="27"/>
      <c r="I279" s="27"/>
      <c r="J279" s="39"/>
      <c r="K279" s="30">
        <f t="shared" si="35"/>
        <v>0</v>
      </c>
      <c r="L279" s="27"/>
      <c r="M279" s="31"/>
      <c r="N279" s="31"/>
      <c r="O279" s="31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31"/>
      <c r="AB279" s="27"/>
      <c r="AC279" s="27"/>
      <c r="AD279" s="27">
        <f t="shared" si="36"/>
        <v>0</v>
      </c>
      <c r="AE279" s="27">
        <f t="shared" si="37"/>
        <v>0</v>
      </c>
      <c r="AF279" s="32"/>
      <c r="AG279" s="33"/>
    </row>
    <row r="280" spans="1:35" s="34" customFormat="1" ht="24" customHeight="1" x14ac:dyDescent="0.35">
      <c r="A280" s="59">
        <v>276</v>
      </c>
      <c r="B280" s="27"/>
      <c r="C280" s="27"/>
      <c r="D280" s="26"/>
      <c r="E280" s="26"/>
      <c r="F280" s="29"/>
      <c r="G280" s="29"/>
      <c r="H280" s="27"/>
      <c r="I280" s="44"/>
      <c r="J280" s="39"/>
      <c r="K280" s="30">
        <f t="shared" si="35"/>
        <v>0</v>
      </c>
      <c r="L280" s="27"/>
      <c r="M280" s="31"/>
      <c r="N280" s="31"/>
      <c r="O280" s="31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31"/>
      <c r="AB280" s="27"/>
      <c r="AC280" s="27"/>
      <c r="AD280" s="27">
        <f t="shared" si="36"/>
        <v>0</v>
      </c>
      <c r="AE280" s="27">
        <f t="shared" si="37"/>
        <v>0</v>
      </c>
      <c r="AF280" s="32"/>
      <c r="AG280" s="33"/>
    </row>
    <row r="281" spans="1:35" s="34" customFormat="1" ht="24" customHeight="1" x14ac:dyDescent="0.35">
      <c r="A281" s="59">
        <v>277</v>
      </c>
      <c r="B281" s="27"/>
      <c r="C281" s="27"/>
      <c r="D281" s="26"/>
      <c r="E281" s="26"/>
      <c r="F281" s="29"/>
      <c r="G281" s="29"/>
      <c r="H281" s="27"/>
      <c r="I281" s="44"/>
      <c r="J281" s="39"/>
      <c r="K281" s="30">
        <f t="shared" si="35"/>
        <v>0</v>
      </c>
      <c r="L281" s="27"/>
      <c r="M281" s="31"/>
      <c r="N281" s="31"/>
      <c r="O281" s="31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31"/>
      <c r="AB281" s="27"/>
      <c r="AC281" s="27"/>
      <c r="AD281" s="27">
        <f t="shared" si="36"/>
        <v>0</v>
      </c>
      <c r="AE281" s="27">
        <f t="shared" si="37"/>
        <v>0</v>
      </c>
      <c r="AF281" s="32"/>
      <c r="AG281" s="33"/>
    </row>
    <row r="282" spans="1:35" s="34" customFormat="1" ht="24" customHeight="1" x14ac:dyDescent="0.35">
      <c r="A282" s="59">
        <v>278</v>
      </c>
      <c r="B282" s="27"/>
      <c r="C282" s="27"/>
      <c r="D282" s="26"/>
      <c r="E282" s="26"/>
      <c r="F282" s="29"/>
      <c r="G282" s="29"/>
      <c r="H282" s="27"/>
      <c r="I282" s="44"/>
      <c r="J282" s="39"/>
      <c r="K282" s="30">
        <f t="shared" ref="K282:K313" si="38">I282+J282+H282</f>
        <v>0</v>
      </c>
      <c r="L282" s="27"/>
      <c r="M282" s="31"/>
      <c r="N282" s="31"/>
      <c r="O282" s="31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31"/>
      <c r="AB282" s="27"/>
      <c r="AC282" s="27"/>
      <c r="AD282" s="27">
        <f t="shared" si="36"/>
        <v>0</v>
      </c>
      <c r="AE282" s="27">
        <f t="shared" si="37"/>
        <v>0</v>
      </c>
      <c r="AF282" s="32"/>
      <c r="AG282" s="33"/>
    </row>
    <row r="283" spans="1:35" s="34" customFormat="1" ht="24" customHeight="1" x14ac:dyDescent="0.35">
      <c r="A283" s="59">
        <v>279</v>
      </c>
      <c r="B283" s="27"/>
      <c r="C283" s="27"/>
      <c r="D283" s="26"/>
      <c r="E283" s="26"/>
      <c r="F283" s="29"/>
      <c r="G283" s="29"/>
      <c r="H283" s="27"/>
      <c r="I283" s="44"/>
      <c r="J283" s="39"/>
      <c r="K283" s="30">
        <f t="shared" si="38"/>
        <v>0</v>
      </c>
      <c r="L283" s="27"/>
      <c r="M283" s="31"/>
      <c r="N283" s="31"/>
      <c r="O283" s="31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31"/>
      <c r="AB283" s="27"/>
      <c r="AC283" s="27"/>
      <c r="AD283" s="27">
        <f t="shared" si="36"/>
        <v>0</v>
      </c>
      <c r="AE283" s="27">
        <f t="shared" si="37"/>
        <v>0</v>
      </c>
      <c r="AF283" s="32"/>
      <c r="AG283" s="33"/>
    </row>
    <row r="284" spans="1:35" s="34" customFormat="1" ht="24" customHeight="1" x14ac:dyDescent="0.35">
      <c r="A284" s="59">
        <v>280</v>
      </c>
      <c r="B284" s="27"/>
      <c r="C284" s="27"/>
      <c r="D284" s="26"/>
      <c r="E284" s="26"/>
      <c r="F284" s="29"/>
      <c r="G284" s="29"/>
      <c r="H284" s="27"/>
      <c r="I284" s="44"/>
      <c r="J284" s="39"/>
      <c r="K284" s="30">
        <f t="shared" si="38"/>
        <v>0</v>
      </c>
      <c r="L284" s="27"/>
      <c r="M284" s="31"/>
      <c r="N284" s="31"/>
      <c r="O284" s="31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31"/>
      <c r="AB284" s="27"/>
      <c r="AC284" s="27"/>
      <c r="AD284" s="27">
        <f t="shared" si="36"/>
        <v>0</v>
      </c>
      <c r="AE284" s="27">
        <f t="shared" si="37"/>
        <v>0</v>
      </c>
      <c r="AF284" s="32"/>
      <c r="AG284" s="33"/>
    </row>
    <row r="285" spans="1:35" s="34" customFormat="1" ht="24" customHeight="1" x14ac:dyDescent="0.35">
      <c r="A285" s="59">
        <v>281</v>
      </c>
      <c r="B285" s="27"/>
      <c r="C285" s="27"/>
      <c r="D285" s="25"/>
      <c r="E285" s="28"/>
      <c r="F285" s="29"/>
      <c r="G285" s="29"/>
      <c r="H285" s="27"/>
      <c r="I285" s="44"/>
      <c r="J285" s="39"/>
      <c r="K285" s="30">
        <f t="shared" si="38"/>
        <v>0</v>
      </c>
      <c r="L285" s="27"/>
      <c r="M285" s="31"/>
      <c r="N285" s="31"/>
      <c r="O285" s="31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31"/>
      <c r="AB285" s="27"/>
      <c r="AC285" s="27"/>
      <c r="AD285" s="27">
        <f t="shared" si="36"/>
        <v>0</v>
      </c>
      <c r="AE285" s="27">
        <f t="shared" si="37"/>
        <v>0</v>
      </c>
      <c r="AF285" s="32"/>
      <c r="AG285" s="33"/>
    </row>
    <row r="286" spans="1:35" s="34" customFormat="1" ht="24" customHeight="1" x14ac:dyDescent="0.35">
      <c r="A286" s="59">
        <v>282</v>
      </c>
      <c r="B286" s="27"/>
      <c r="C286" s="27"/>
      <c r="D286" s="25"/>
      <c r="E286" s="35"/>
      <c r="F286" s="29"/>
      <c r="G286" s="29"/>
      <c r="H286" s="27"/>
      <c r="I286" s="44"/>
      <c r="J286" s="39"/>
      <c r="K286" s="30">
        <f t="shared" si="38"/>
        <v>0</v>
      </c>
      <c r="L286" s="27"/>
      <c r="M286" s="31"/>
      <c r="N286" s="31"/>
      <c r="O286" s="31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31"/>
      <c r="AB286" s="27"/>
      <c r="AC286" s="27"/>
      <c r="AD286" s="27">
        <f t="shared" si="36"/>
        <v>0</v>
      </c>
      <c r="AE286" s="27">
        <f t="shared" si="37"/>
        <v>0</v>
      </c>
      <c r="AF286" s="32"/>
      <c r="AG286" s="33"/>
    </row>
    <row r="287" spans="1:35" s="34" customFormat="1" ht="24" customHeight="1" x14ac:dyDescent="0.35">
      <c r="A287" s="59">
        <v>283</v>
      </c>
      <c r="B287" s="27"/>
      <c r="C287" s="27"/>
      <c r="D287" s="26"/>
      <c r="E287" s="26"/>
      <c r="F287" s="29"/>
      <c r="G287" s="29"/>
      <c r="H287" s="27"/>
      <c r="I287" s="44"/>
      <c r="J287" s="39"/>
      <c r="K287" s="30">
        <f t="shared" si="38"/>
        <v>0</v>
      </c>
      <c r="L287" s="27"/>
      <c r="M287" s="31"/>
      <c r="N287" s="31"/>
      <c r="O287" s="31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31"/>
      <c r="AB287" s="27"/>
      <c r="AC287" s="27"/>
      <c r="AD287" s="27">
        <f t="shared" si="36"/>
        <v>0</v>
      </c>
      <c r="AE287" s="27">
        <f t="shared" si="37"/>
        <v>0</v>
      </c>
      <c r="AF287" s="32"/>
      <c r="AG287" s="33"/>
    </row>
    <row r="288" spans="1:35" s="34" customFormat="1" ht="24" customHeight="1" x14ac:dyDescent="0.35">
      <c r="A288" s="59">
        <v>284</v>
      </c>
      <c r="B288" s="27"/>
      <c r="C288" s="27"/>
      <c r="D288" s="26"/>
      <c r="E288" s="26"/>
      <c r="F288" s="29"/>
      <c r="G288" s="29"/>
      <c r="H288" s="27"/>
      <c r="I288" s="44"/>
      <c r="J288" s="39"/>
      <c r="K288" s="30">
        <f t="shared" si="38"/>
        <v>0</v>
      </c>
      <c r="L288" s="27"/>
      <c r="M288" s="31"/>
      <c r="N288" s="31"/>
      <c r="O288" s="31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31"/>
      <c r="AB288" s="27"/>
      <c r="AC288" s="27"/>
      <c r="AD288" s="27">
        <f t="shared" si="36"/>
        <v>0</v>
      </c>
      <c r="AE288" s="27">
        <f t="shared" si="37"/>
        <v>0</v>
      </c>
      <c r="AF288" s="32"/>
      <c r="AG288" s="33"/>
    </row>
    <row r="289" spans="1:35" s="34" customFormat="1" ht="24" customHeight="1" x14ac:dyDescent="0.35">
      <c r="A289" s="59">
        <v>285</v>
      </c>
      <c r="B289" s="27"/>
      <c r="C289" s="27"/>
      <c r="D289" s="26"/>
      <c r="E289" s="26"/>
      <c r="F289" s="29"/>
      <c r="G289" s="29"/>
      <c r="H289" s="27"/>
      <c r="I289" s="44"/>
      <c r="J289" s="39"/>
      <c r="K289" s="30">
        <f t="shared" si="38"/>
        <v>0</v>
      </c>
      <c r="L289" s="27"/>
      <c r="M289" s="31"/>
      <c r="N289" s="31"/>
      <c r="O289" s="31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31"/>
      <c r="AB289" s="27"/>
      <c r="AC289" s="27"/>
      <c r="AD289" s="27">
        <f t="shared" si="36"/>
        <v>0</v>
      </c>
      <c r="AE289" s="27">
        <f t="shared" si="37"/>
        <v>0</v>
      </c>
      <c r="AF289" s="32"/>
      <c r="AG289" s="33"/>
    </row>
    <row r="290" spans="1:35" s="34" customFormat="1" ht="24" customHeight="1" x14ac:dyDescent="0.35">
      <c r="A290" s="59">
        <v>286</v>
      </c>
      <c r="B290" s="27"/>
      <c r="C290" s="27"/>
      <c r="D290" s="26"/>
      <c r="E290" s="26"/>
      <c r="F290" s="29"/>
      <c r="G290" s="29"/>
      <c r="H290" s="27"/>
      <c r="I290" s="44"/>
      <c r="J290" s="39"/>
      <c r="K290" s="30">
        <f t="shared" si="38"/>
        <v>0</v>
      </c>
      <c r="L290" s="27"/>
      <c r="M290" s="31"/>
      <c r="N290" s="31"/>
      <c r="O290" s="31"/>
      <c r="P290" s="27"/>
      <c r="Q290" s="27"/>
      <c r="R290" s="27"/>
      <c r="S290" s="27"/>
      <c r="T290" s="27"/>
      <c r="U290" s="27"/>
      <c r="X290" s="27"/>
      <c r="Y290" s="27"/>
      <c r="Z290" s="27"/>
      <c r="AA290" s="31"/>
      <c r="AB290" s="27"/>
      <c r="AC290" s="27"/>
      <c r="AD290" s="27">
        <f t="shared" si="36"/>
        <v>0</v>
      </c>
      <c r="AE290" s="27">
        <f t="shared" si="37"/>
        <v>0</v>
      </c>
      <c r="AF290" s="32"/>
      <c r="AG290" s="33"/>
    </row>
    <row r="291" spans="1:35" s="34" customFormat="1" ht="24" customHeight="1" x14ac:dyDescent="0.35">
      <c r="A291" s="59">
        <v>287</v>
      </c>
      <c r="B291" s="27"/>
      <c r="C291" s="27"/>
      <c r="D291" s="26"/>
      <c r="E291" s="26"/>
      <c r="F291" s="29"/>
      <c r="G291" s="29"/>
      <c r="H291" s="27"/>
      <c r="I291" s="44"/>
      <c r="J291" s="39"/>
      <c r="K291" s="30">
        <f t="shared" si="38"/>
        <v>0</v>
      </c>
      <c r="L291" s="27"/>
      <c r="M291" s="31"/>
      <c r="N291" s="31"/>
      <c r="O291" s="31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31"/>
      <c r="AB291" s="27"/>
      <c r="AC291" s="27"/>
      <c r="AD291" s="27">
        <f t="shared" si="36"/>
        <v>0</v>
      </c>
      <c r="AE291" s="27">
        <f t="shared" si="37"/>
        <v>0</v>
      </c>
      <c r="AF291" s="32"/>
      <c r="AG291" s="33"/>
    </row>
    <row r="292" spans="1:35" s="34" customFormat="1" ht="24" customHeight="1" x14ac:dyDescent="0.35">
      <c r="A292" s="59">
        <v>288</v>
      </c>
      <c r="B292" s="27"/>
      <c r="C292" s="27"/>
      <c r="D292" s="26"/>
      <c r="E292" s="26"/>
      <c r="F292" s="29"/>
      <c r="G292" s="29"/>
      <c r="H292" s="27"/>
      <c r="I292" s="27"/>
      <c r="J292" s="39"/>
      <c r="K292" s="30">
        <f t="shared" si="38"/>
        <v>0</v>
      </c>
      <c r="L292" s="27"/>
      <c r="M292" s="31"/>
      <c r="N292" s="31"/>
      <c r="O292" s="31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31"/>
      <c r="AB292" s="27"/>
      <c r="AC292" s="27"/>
      <c r="AD292" s="27">
        <f t="shared" si="36"/>
        <v>0</v>
      </c>
      <c r="AE292" s="27">
        <f t="shared" si="37"/>
        <v>0</v>
      </c>
      <c r="AF292" s="32"/>
      <c r="AG292" s="33"/>
    </row>
    <row r="293" spans="1:35" s="34" customFormat="1" ht="24" customHeight="1" x14ac:dyDescent="0.35">
      <c r="A293" s="59">
        <v>289</v>
      </c>
      <c r="B293" s="27"/>
      <c r="C293" s="27"/>
      <c r="D293" s="26"/>
      <c r="E293" s="26"/>
      <c r="F293" s="29"/>
      <c r="G293" s="47"/>
      <c r="H293" s="27"/>
      <c r="I293" s="27"/>
      <c r="J293" s="41"/>
      <c r="K293" s="30">
        <f t="shared" si="38"/>
        <v>0</v>
      </c>
      <c r="L293" s="27"/>
      <c r="M293" s="31"/>
      <c r="N293" s="31"/>
      <c r="O293" s="31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31"/>
      <c r="AB293" s="27"/>
      <c r="AC293" s="27"/>
      <c r="AD293" s="27">
        <f t="shared" si="36"/>
        <v>0</v>
      </c>
      <c r="AE293" s="27">
        <f t="shared" si="37"/>
        <v>0</v>
      </c>
      <c r="AF293" s="32"/>
      <c r="AG293" s="33"/>
    </row>
    <row r="294" spans="1:35" s="34" customFormat="1" ht="24" customHeight="1" x14ac:dyDescent="0.35">
      <c r="A294" s="59">
        <v>290</v>
      </c>
      <c r="B294" s="27"/>
      <c r="C294" s="27"/>
      <c r="D294" s="28"/>
      <c r="E294" s="28"/>
      <c r="F294" s="36"/>
      <c r="G294" s="36"/>
      <c r="H294" s="27"/>
      <c r="I294" s="27"/>
      <c r="J294" s="27"/>
      <c r="K294" s="30">
        <f t="shared" si="38"/>
        <v>0</v>
      </c>
      <c r="L294" s="27"/>
      <c r="M294" s="31"/>
      <c r="N294" s="31"/>
      <c r="O294" s="31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31"/>
      <c r="AB294" s="27"/>
      <c r="AC294" s="27"/>
      <c r="AD294" s="27">
        <f t="shared" si="36"/>
        <v>0</v>
      </c>
      <c r="AE294" s="27">
        <f t="shared" si="37"/>
        <v>0</v>
      </c>
      <c r="AF294" s="32"/>
      <c r="AG294" s="33"/>
    </row>
    <row r="295" spans="1:35" s="34" customFormat="1" ht="24" customHeight="1" x14ac:dyDescent="0.35">
      <c r="A295" s="59">
        <v>291</v>
      </c>
      <c r="B295" s="27"/>
      <c r="C295" s="27"/>
      <c r="D295" s="28"/>
      <c r="E295" s="28"/>
      <c r="F295" s="36"/>
      <c r="G295" s="36"/>
      <c r="H295" s="27"/>
      <c r="I295" s="27"/>
      <c r="J295" s="27"/>
      <c r="K295" s="30">
        <f t="shared" si="38"/>
        <v>0</v>
      </c>
      <c r="L295" s="27"/>
      <c r="M295" s="31"/>
      <c r="N295" s="31"/>
      <c r="O295" s="31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31"/>
      <c r="AB295" s="27"/>
      <c r="AC295" s="27"/>
      <c r="AD295" s="27">
        <f t="shared" si="36"/>
        <v>0</v>
      </c>
      <c r="AE295" s="27">
        <f t="shared" si="37"/>
        <v>0</v>
      </c>
      <c r="AF295" s="32"/>
      <c r="AG295" s="33"/>
    </row>
    <row r="296" spans="1:35" s="34" customFormat="1" ht="24" customHeight="1" x14ac:dyDescent="0.35">
      <c r="A296" s="59">
        <v>292</v>
      </c>
      <c r="B296" s="27"/>
      <c r="C296" s="27"/>
      <c r="D296" s="26"/>
      <c r="E296" s="26"/>
      <c r="F296" s="29"/>
      <c r="G296" s="29"/>
      <c r="H296" s="27"/>
      <c r="I296" s="27"/>
      <c r="J296" s="27"/>
      <c r="K296" s="30">
        <f t="shared" si="38"/>
        <v>0</v>
      </c>
      <c r="L296" s="27"/>
      <c r="M296" s="31"/>
      <c r="N296" s="31"/>
      <c r="O296" s="31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31"/>
      <c r="AB296" s="27"/>
      <c r="AC296" s="27"/>
      <c r="AD296" s="27">
        <f t="shared" si="36"/>
        <v>0</v>
      </c>
      <c r="AE296" s="27">
        <f t="shared" si="37"/>
        <v>0</v>
      </c>
      <c r="AF296" s="32"/>
      <c r="AG296" s="33"/>
    </row>
    <row r="297" spans="1:35" s="34" customFormat="1" ht="24" customHeight="1" x14ac:dyDescent="0.35">
      <c r="A297" s="59">
        <v>293</v>
      </c>
      <c r="B297" s="27"/>
      <c r="C297" s="27"/>
      <c r="D297" s="46"/>
      <c r="E297" s="46"/>
      <c r="F297" s="47"/>
      <c r="G297" s="47"/>
      <c r="H297" s="27"/>
      <c r="I297" s="27"/>
      <c r="J297" s="27"/>
      <c r="K297" s="30">
        <f t="shared" si="38"/>
        <v>0</v>
      </c>
      <c r="L297" s="27"/>
      <c r="M297" s="31"/>
      <c r="N297" s="31"/>
      <c r="O297" s="31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31"/>
      <c r="AB297" s="27"/>
      <c r="AC297" s="27"/>
      <c r="AD297" s="27">
        <f t="shared" si="36"/>
        <v>0</v>
      </c>
      <c r="AE297" s="27">
        <f t="shared" si="37"/>
        <v>0</v>
      </c>
      <c r="AF297" s="32"/>
      <c r="AG297" s="33"/>
    </row>
    <row r="298" spans="1:35" s="34" customFormat="1" ht="24" customHeight="1" x14ac:dyDescent="0.35">
      <c r="A298" s="59">
        <v>294</v>
      </c>
      <c r="B298" s="27"/>
      <c r="C298" s="27"/>
      <c r="D298" s="28"/>
      <c r="E298" s="28"/>
      <c r="F298" s="36"/>
      <c r="G298" s="36"/>
      <c r="H298" s="27"/>
      <c r="I298" s="27"/>
      <c r="J298" s="27"/>
      <c r="K298" s="30">
        <f t="shared" si="38"/>
        <v>0</v>
      </c>
      <c r="L298" s="27"/>
      <c r="M298" s="31"/>
      <c r="N298" s="31"/>
      <c r="O298" s="31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31"/>
      <c r="AB298" s="27"/>
      <c r="AC298" s="27"/>
      <c r="AD298" s="27">
        <f t="shared" si="36"/>
        <v>0</v>
      </c>
      <c r="AE298" s="27">
        <f t="shared" si="37"/>
        <v>0</v>
      </c>
      <c r="AF298" s="32"/>
      <c r="AG298" s="33"/>
    </row>
    <row r="299" spans="1:35" s="34" customFormat="1" ht="24" customHeight="1" x14ac:dyDescent="0.35">
      <c r="A299" s="59">
        <v>295</v>
      </c>
      <c r="B299" s="27"/>
      <c r="C299" s="27"/>
      <c r="D299" s="35"/>
      <c r="E299" s="35"/>
      <c r="F299" s="29"/>
      <c r="G299" s="29"/>
      <c r="H299" s="27"/>
      <c r="I299" s="27"/>
      <c r="J299" s="27"/>
      <c r="K299" s="30">
        <f t="shared" si="38"/>
        <v>0</v>
      </c>
      <c r="L299" s="27"/>
      <c r="M299" s="31"/>
      <c r="N299" s="31"/>
      <c r="O299" s="31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31"/>
      <c r="AB299" s="27"/>
      <c r="AC299" s="27"/>
      <c r="AD299" s="27">
        <f t="shared" si="36"/>
        <v>0</v>
      </c>
      <c r="AE299" s="27">
        <f t="shared" si="37"/>
        <v>0</v>
      </c>
      <c r="AF299" s="32"/>
      <c r="AG299" s="33"/>
    </row>
    <row r="300" spans="1:35" s="34" customFormat="1" ht="24" customHeight="1" x14ac:dyDescent="0.35">
      <c r="A300" s="59">
        <v>296</v>
      </c>
      <c r="B300" s="27"/>
      <c r="C300" s="27"/>
      <c r="D300" s="35"/>
      <c r="E300" s="35"/>
      <c r="F300" s="29"/>
      <c r="G300" s="29"/>
      <c r="H300" s="27"/>
      <c r="I300" s="27"/>
      <c r="J300" s="27"/>
      <c r="K300" s="30">
        <f t="shared" si="38"/>
        <v>0</v>
      </c>
      <c r="L300" s="27"/>
      <c r="M300" s="31"/>
      <c r="N300" s="31"/>
      <c r="O300" s="31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31"/>
      <c r="AB300" s="27"/>
      <c r="AC300" s="27"/>
      <c r="AD300" s="27">
        <f t="shared" si="36"/>
        <v>0</v>
      </c>
      <c r="AE300" s="27">
        <f t="shared" si="37"/>
        <v>0</v>
      </c>
      <c r="AF300" s="32"/>
      <c r="AG300" s="33"/>
      <c r="AI300" s="33"/>
    </row>
    <row r="301" spans="1:35" s="34" customFormat="1" ht="24" customHeight="1" x14ac:dyDescent="0.35">
      <c r="A301" s="59">
        <v>297</v>
      </c>
      <c r="B301" s="27"/>
      <c r="C301" s="27"/>
      <c r="D301" s="46"/>
      <c r="E301" s="46"/>
      <c r="F301" s="47"/>
      <c r="G301" s="47"/>
      <c r="H301" s="27"/>
      <c r="I301" s="27"/>
      <c r="J301" s="27"/>
      <c r="K301" s="30">
        <f t="shared" si="38"/>
        <v>0</v>
      </c>
      <c r="L301" s="27"/>
      <c r="M301" s="31"/>
      <c r="N301" s="31"/>
      <c r="O301" s="31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31"/>
      <c r="AB301" s="27"/>
      <c r="AC301" s="27"/>
      <c r="AD301" s="27">
        <f t="shared" si="36"/>
        <v>0</v>
      </c>
      <c r="AE301" s="27">
        <f t="shared" si="37"/>
        <v>0</v>
      </c>
      <c r="AF301" s="32"/>
      <c r="AG301" s="33"/>
    </row>
    <row r="302" spans="1:35" s="34" customFormat="1" ht="24" customHeight="1" thickBot="1" x14ac:dyDescent="0.4">
      <c r="A302" s="59">
        <v>298</v>
      </c>
      <c r="B302" s="27"/>
      <c r="C302" s="48"/>
      <c r="D302" s="49"/>
      <c r="E302" s="49"/>
      <c r="F302" s="50"/>
      <c r="G302" s="50"/>
      <c r="H302" s="27"/>
      <c r="I302" s="27"/>
      <c r="J302" s="40"/>
      <c r="K302" s="30">
        <f t="shared" si="38"/>
        <v>0</v>
      </c>
      <c r="L302" s="27"/>
      <c r="M302" s="31"/>
      <c r="N302" s="31"/>
      <c r="O302" s="31"/>
      <c r="P302" s="27"/>
      <c r="Q302" s="27"/>
      <c r="R302" s="27"/>
      <c r="S302" s="27"/>
      <c r="T302" s="27"/>
      <c r="U302" s="27"/>
      <c r="V302" s="27"/>
      <c r="W302" s="46"/>
      <c r="X302" s="27"/>
      <c r="Y302" s="27"/>
      <c r="Z302" s="27"/>
      <c r="AA302" s="31"/>
      <c r="AB302" s="27"/>
      <c r="AC302" s="27"/>
      <c r="AD302" s="27">
        <f t="shared" si="36"/>
        <v>0</v>
      </c>
      <c r="AE302" s="27">
        <f t="shared" si="37"/>
        <v>0</v>
      </c>
      <c r="AF302" s="32"/>
      <c r="AG302" s="33"/>
    </row>
    <row r="303" spans="1:35" s="34" customFormat="1" ht="24" customHeight="1" x14ac:dyDescent="0.35">
      <c r="A303" s="59">
        <v>299</v>
      </c>
      <c r="B303" s="27"/>
      <c r="C303" s="27"/>
      <c r="D303" s="28"/>
      <c r="E303" s="28"/>
      <c r="F303" s="36"/>
      <c r="G303" s="36"/>
      <c r="H303" s="27"/>
      <c r="I303" s="27"/>
      <c r="J303" s="27"/>
      <c r="K303" s="30">
        <f t="shared" si="38"/>
        <v>0</v>
      </c>
      <c r="L303" s="27"/>
      <c r="M303" s="31"/>
      <c r="N303" s="31"/>
      <c r="O303" s="31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31"/>
      <c r="AB303" s="27"/>
      <c r="AC303" s="27"/>
      <c r="AD303" s="27">
        <f t="shared" si="36"/>
        <v>0</v>
      </c>
      <c r="AE303" s="27">
        <f t="shared" si="37"/>
        <v>0</v>
      </c>
      <c r="AF303" s="32"/>
      <c r="AG303" s="33"/>
    </row>
    <row r="304" spans="1:35" s="34" customFormat="1" ht="24" customHeight="1" x14ac:dyDescent="0.35">
      <c r="A304" s="59">
        <v>300</v>
      </c>
      <c r="B304" s="27"/>
      <c r="C304" s="27"/>
      <c r="D304" s="28"/>
      <c r="E304" s="28"/>
      <c r="F304" s="36"/>
      <c r="G304" s="36"/>
      <c r="H304" s="27"/>
      <c r="I304" s="27"/>
      <c r="J304" s="27"/>
      <c r="K304" s="30">
        <f t="shared" si="38"/>
        <v>0</v>
      </c>
      <c r="L304" s="27"/>
      <c r="M304" s="31"/>
      <c r="N304" s="31"/>
      <c r="O304" s="31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31"/>
      <c r="AB304" s="27"/>
      <c r="AC304" s="27"/>
      <c r="AD304" s="27">
        <f t="shared" si="36"/>
        <v>0</v>
      </c>
      <c r="AE304" s="27">
        <f t="shared" si="37"/>
        <v>0</v>
      </c>
      <c r="AF304" s="32"/>
      <c r="AG304" s="33"/>
    </row>
    <row r="305" spans="1:35" s="34" customFormat="1" ht="24" customHeight="1" x14ac:dyDescent="0.35">
      <c r="A305" s="59">
        <v>301</v>
      </c>
      <c r="B305" s="27"/>
      <c r="C305" s="27"/>
      <c r="D305" s="28"/>
      <c r="E305" s="28"/>
      <c r="F305" s="36"/>
      <c r="G305" s="36"/>
      <c r="H305" s="27"/>
      <c r="I305" s="27"/>
      <c r="J305" s="27"/>
      <c r="K305" s="30">
        <f t="shared" si="38"/>
        <v>0</v>
      </c>
      <c r="L305" s="27"/>
      <c r="M305" s="31"/>
      <c r="N305" s="31"/>
      <c r="O305" s="31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31"/>
      <c r="AB305" s="27"/>
      <c r="AC305" s="27"/>
      <c r="AD305" s="27">
        <f t="shared" si="36"/>
        <v>0</v>
      </c>
      <c r="AE305" s="27">
        <f t="shared" si="37"/>
        <v>0</v>
      </c>
      <c r="AF305" s="32"/>
      <c r="AG305" s="33"/>
    </row>
    <row r="306" spans="1:35" s="34" customFormat="1" ht="24" customHeight="1" x14ac:dyDescent="0.35">
      <c r="A306" s="59">
        <v>302</v>
      </c>
      <c r="B306" s="27"/>
      <c r="C306" s="27"/>
      <c r="D306" s="46"/>
      <c r="E306" s="46"/>
      <c r="F306" s="47"/>
      <c r="G306" s="47"/>
      <c r="H306" s="27"/>
      <c r="I306" s="27"/>
      <c r="J306" s="27"/>
      <c r="K306" s="30">
        <f t="shared" si="38"/>
        <v>0</v>
      </c>
      <c r="L306" s="27"/>
      <c r="M306" s="31"/>
      <c r="N306" s="31"/>
      <c r="O306" s="31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31"/>
      <c r="AB306" s="27"/>
      <c r="AC306" s="27"/>
      <c r="AD306" s="27">
        <f t="shared" si="36"/>
        <v>0</v>
      </c>
      <c r="AE306" s="27">
        <f t="shared" si="37"/>
        <v>0</v>
      </c>
      <c r="AF306" s="32"/>
      <c r="AG306" s="33"/>
      <c r="AI306" s="33"/>
    </row>
    <row r="307" spans="1:35" s="34" customFormat="1" ht="24" customHeight="1" x14ac:dyDescent="0.35">
      <c r="A307" s="59">
        <v>303</v>
      </c>
      <c r="B307" s="27"/>
      <c r="C307" s="27"/>
      <c r="D307" s="26"/>
      <c r="E307" s="26"/>
      <c r="F307" s="29"/>
      <c r="G307" s="29"/>
      <c r="H307" s="27"/>
      <c r="I307" s="41"/>
      <c r="J307" s="27"/>
      <c r="K307" s="30">
        <f t="shared" si="38"/>
        <v>0</v>
      </c>
      <c r="L307" s="27"/>
      <c r="M307" s="31"/>
      <c r="N307" s="31"/>
      <c r="O307" s="31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31"/>
      <c r="AB307" s="27"/>
      <c r="AC307" s="27"/>
      <c r="AD307" s="27">
        <f t="shared" si="36"/>
        <v>0</v>
      </c>
      <c r="AE307" s="27">
        <f t="shared" si="37"/>
        <v>0</v>
      </c>
      <c r="AF307" s="32"/>
      <c r="AG307" s="33"/>
    </row>
    <row r="308" spans="1:35" s="34" customFormat="1" ht="24" customHeight="1" x14ac:dyDescent="0.35">
      <c r="A308" s="59">
        <v>304</v>
      </c>
      <c r="B308" s="27"/>
      <c r="C308" s="27"/>
      <c r="D308" s="35"/>
      <c r="E308" s="35"/>
      <c r="F308" s="29"/>
      <c r="G308" s="29"/>
      <c r="H308" s="27"/>
      <c r="I308" s="42"/>
      <c r="J308" s="27"/>
      <c r="K308" s="30">
        <f t="shared" si="38"/>
        <v>0</v>
      </c>
      <c r="L308" s="27"/>
      <c r="M308" s="31"/>
      <c r="N308" s="31"/>
      <c r="O308" s="31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31"/>
      <c r="AB308" s="27"/>
      <c r="AC308" s="27"/>
      <c r="AD308" s="27">
        <f t="shared" si="36"/>
        <v>0</v>
      </c>
      <c r="AE308" s="27">
        <f t="shared" si="37"/>
        <v>0</v>
      </c>
      <c r="AF308" s="32"/>
      <c r="AG308" s="33"/>
    </row>
    <row r="309" spans="1:35" s="34" customFormat="1" ht="24" customHeight="1" x14ac:dyDescent="0.35">
      <c r="A309" s="59">
        <v>305</v>
      </c>
      <c r="B309" s="27"/>
      <c r="C309" s="27"/>
      <c r="D309" s="26"/>
      <c r="E309" s="26"/>
      <c r="F309" s="29"/>
      <c r="G309" s="29"/>
      <c r="H309" s="27"/>
      <c r="I309" s="44"/>
      <c r="J309" s="27"/>
      <c r="K309" s="30">
        <f t="shared" si="38"/>
        <v>0</v>
      </c>
      <c r="L309" s="27"/>
      <c r="M309" s="31"/>
      <c r="N309" s="31"/>
      <c r="O309" s="31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31"/>
      <c r="AB309" s="27"/>
      <c r="AC309" s="27"/>
      <c r="AD309" s="27">
        <f t="shared" si="36"/>
        <v>0</v>
      </c>
      <c r="AE309" s="27">
        <f t="shared" si="37"/>
        <v>0</v>
      </c>
      <c r="AF309" s="32"/>
      <c r="AG309" s="33"/>
    </row>
    <row r="310" spans="1:35" s="34" customFormat="1" ht="24" customHeight="1" x14ac:dyDescent="0.35">
      <c r="A310" s="59">
        <v>306</v>
      </c>
      <c r="B310" s="27"/>
      <c r="C310" s="27"/>
      <c r="D310" s="28"/>
      <c r="E310" s="28"/>
      <c r="F310" s="36"/>
      <c r="G310" s="36"/>
      <c r="H310" s="27"/>
      <c r="I310" s="44"/>
      <c r="J310" s="27"/>
      <c r="K310" s="30">
        <f t="shared" si="38"/>
        <v>0</v>
      </c>
      <c r="L310" s="27"/>
      <c r="M310" s="31"/>
      <c r="N310" s="31"/>
      <c r="O310" s="31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31"/>
      <c r="AB310" s="27"/>
      <c r="AC310" s="27"/>
      <c r="AD310" s="27">
        <f t="shared" si="36"/>
        <v>0</v>
      </c>
      <c r="AE310" s="27">
        <f t="shared" si="37"/>
        <v>0</v>
      </c>
      <c r="AF310" s="32"/>
      <c r="AG310" s="33"/>
    </row>
    <row r="311" spans="1:35" s="34" customFormat="1" ht="24" customHeight="1" x14ac:dyDescent="0.35">
      <c r="A311" s="59">
        <v>307</v>
      </c>
      <c r="B311" s="27"/>
      <c r="C311" s="27"/>
      <c r="D311" s="26"/>
      <c r="E311" s="26"/>
      <c r="F311" s="29"/>
      <c r="G311" s="29"/>
      <c r="H311" s="27"/>
      <c r="I311" s="44"/>
      <c r="J311" s="27"/>
      <c r="K311" s="30">
        <f t="shared" si="38"/>
        <v>0</v>
      </c>
      <c r="L311" s="27"/>
      <c r="M311" s="31"/>
      <c r="N311" s="31"/>
      <c r="O311" s="31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31"/>
      <c r="AB311" s="27"/>
      <c r="AC311" s="27"/>
      <c r="AD311" s="27">
        <f t="shared" si="36"/>
        <v>0</v>
      </c>
      <c r="AE311" s="27">
        <f t="shared" si="37"/>
        <v>0</v>
      </c>
      <c r="AF311" s="32"/>
      <c r="AG311" s="33"/>
    </row>
    <row r="312" spans="1:35" s="34" customFormat="1" ht="24" customHeight="1" x14ac:dyDescent="0.35">
      <c r="A312" s="59">
        <v>308</v>
      </c>
      <c r="B312" s="27"/>
      <c r="C312" s="27"/>
      <c r="D312" s="28"/>
      <c r="E312" s="28"/>
      <c r="F312" s="36"/>
      <c r="G312" s="36"/>
      <c r="H312" s="27"/>
      <c r="I312" s="44"/>
      <c r="J312" s="27"/>
      <c r="K312" s="30">
        <f t="shared" si="38"/>
        <v>0</v>
      </c>
      <c r="L312" s="27"/>
      <c r="M312" s="31"/>
      <c r="N312" s="31"/>
      <c r="O312" s="31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31"/>
      <c r="AB312" s="27"/>
      <c r="AC312" s="27"/>
      <c r="AD312" s="27">
        <f t="shared" si="36"/>
        <v>0</v>
      </c>
      <c r="AE312" s="27">
        <f t="shared" si="37"/>
        <v>0</v>
      </c>
      <c r="AF312" s="32"/>
      <c r="AG312" s="33"/>
    </row>
    <row r="313" spans="1:35" s="34" customFormat="1" ht="24" customHeight="1" x14ac:dyDescent="0.35">
      <c r="A313" s="59">
        <v>309</v>
      </c>
      <c r="B313" s="27"/>
      <c r="C313" s="27"/>
      <c r="D313" s="46"/>
      <c r="E313" s="46"/>
      <c r="F313" s="47"/>
      <c r="G313" s="47"/>
      <c r="H313" s="27"/>
      <c r="I313" s="44"/>
      <c r="J313" s="27"/>
      <c r="K313" s="30">
        <f t="shared" si="38"/>
        <v>0</v>
      </c>
      <c r="L313" s="27"/>
      <c r="M313" s="31"/>
      <c r="N313" s="31"/>
      <c r="O313" s="31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31"/>
      <c r="AB313" s="27"/>
      <c r="AC313" s="27"/>
      <c r="AD313" s="27">
        <f t="shared" si="36"/>
        <v>0</v>
      </c>
      <c r="AE313" s="27">
        <f t="shared" si="37"/>
        <v>0</v>
      </c>
      <c r="AF313" s="32"/>
      <c r="AG313" s="33"/>
    </row>
    <row r="314" spans="1:35" s="34" customFormat="1" ht="24" customHeight="1" x14ac:dyDescent="0.35">
      <c r="A314" s="59">
        <v>310</v>
      </c>
      <c r="B314" s="27"/>
      <c r="C314" s="27"/>
      <c r="D314" s="26"/>
      <c r="E314" s="26"/>
      <c r="F314" s="29"/>
      <c r="G314" s="29"/>
      <c r="H314" s="27"/>
      <c r="I314" s="44"/>
      <c r="J314" s="27"/>
      <c r="K314" s="30">
        <f t="shared" ref="K314:K331" si="39">I314+J314+H314</f>
        <v>0</v>
      </c>
      <c r="L314" s="27"/>
      <c r="M314" s="31"/>
      <c r="N314" s="31"/>
      <c r="O314" s="31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31"/>
      <c r="AB314" s="27"/>
      <c r="AC314" s="27"/>
      <c r="AD314" s="27">
        <f t="shared" si="36"/>
        <v>0</v>
      </c>
      <c r="AE314" s="27">
        <f t="shared" si="37"/>
        <v>0</v>
      </c>
      <c r="AF314" s="32"/>
      <c r="AG314" s="33"/>
    </row>
    <row r="315" spans="1:35" s="34" customFormat="1" ht="24" customHeight="1" x14ac:dyDescent="0.35">
      <c r="A315" s="59">
        <v>311</v>
      </c>
      <c r="B315" s="27"/>
      <c r="C315" s="27"/>
      <c r="D315" s="26"/>
      <c r="E315" s="26"/>
      <c r="F315" s="29"/>
      <c r="G315" s="29"/>
      <c r="H315" s="27"/>
      <c r="I315" s="44"/>
      <c r="J315" s="27"/>
      <c r="K315" s="30">
        <f t="shared" si="39"/>
        <v>0</v>
      </c>
      <c r="L315" s="27"/>
      <c r="M315" s="31"/>
      <c r="N315" s="31"/>
      <c r="O315" s="31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31"/>
      <c r="AB315" s="27"/>
      <c r="AC315" s="27"/>
      <c r="AD315" s="27">
        <f t="shared" si="36"/>
        <v>0</v>
      </c>
      <c r="AE315" s="27">
        <f t="shared" si="37"/>
        <v>0</v>
      </c>
      <c r="AF315" s="32"/>
      <c r="AG315" s="33"/>
    </row>
    <row r="316" spans="1:35" s="34" customFormat="1" ht="24" customHeight="1" x14ac:dyDescent="0.35">
      <c r="A316" s="59">
        <v>312</v>
      </c>
      <c r="B316" s="27"/>
      <c r="C316" s="27"/>
      <c r="D316" s="26"/>
      <c r="E316" s="26"/>
      <c r="F316" s="29"/>
      <c r="G316" s="29"/>
      <c r="H316" s="27"/>
      <c r="I316" s="44"/>
      <c r="J316" s="27"/>
      <c r="K316" s="30">
        <f t="shared" si="39"/>
        <v>0</v>
      </c>
      <c r="L316" s="27"/>
      <c r="M316" s="31"/>
      <c r="N316" s="31"/>
      <c r="O316" s="31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31"/>
      <c r="AB316" s="27"/>
      <c r="AC316" s="27"/>
      <c r="AD316" s="27">
        <f t="shared" si="36"/>
        <v>0</v>
      </c>
      <c r="AE316" s="27">
        <f t="shared" si="37"/>
        <v>0</v>
      </c>
      <c r="AF316" s="32"/>
      <c r="AG316" s="33"/>
    </row>
    <row r="317" spans="1:35" s="34" customFormat="1" ht="24" customHeight="1" x14ac:dyDescent="0.35">
      <c r="A317" s="59">
        <v>313</v>
      </c>
      <c r="B317" s="27"/>
      <c r="C317" s="27"/>
      <c r="D317" s="46"/>
      <c r="E317" s="46"/>
      <c r="F317" s="47"/>
      <c r="G317" s="47"/>
      <c r="H317" s="27"/>
      <c r="I317" s="44"/>
      <c r="J317" s="27"/>
      <c r="K317" s="30">
        <f t="shared" si="39"/>
        <v>0</v>
      </c>
      <c r="L317" s="27"/>
      <c r="M317" s="31"/>
      <c r="N317" s="31"/>
      <c r="O317" s="31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31"/>
      <c r="AB317" s="27"/>
      <c r="AC317" s="27"/>
      <c r="AD317" s="27">
        <f t="shared" si="36"/>
        <v>0</v>
      </c>
      <c r="AE317" s="27">
        <f t="shared" si="37"/>
        <v>0</v>
      </c>
      <c r="AF317" s="32"/>
      <c r="AG317" s="33"/>
    </row>
    <row r="318" spans="1:35" s="34" customFormat="1" ht="24" customHeight="1" x14ac:dyDescent="0.35">
      <c r="A318" s="59">
        <v>314</v>
      </c>
      <c r="B318" s="27"/>
      <c r="C318" s="27"/>
      <c r="D318" s="28"/>
      <c r="E318" s="28"/>
      <c r="F318" s="36"/>
      <c r="G318" s="36"/>
      <c r="H318" s="27"/>
      <c r="I318" s="37"/>
      <c r="J318" s="27"/>
      <c r="K318" s="30">
        <f t="shared" si="39"/>
        <v>0</v>
      </c>
      <c r="L318" s="27"/>
      <c r="M318" s="31"/>
      <c r="N318" s="31"/>
      <c r="O318" s="31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31"/>
      <c r="AB318" s="27"/>
      <c r="AC318" s="27"/>
      <c r="AD318" s="27">
        <f t="shared" si="36"/>
        <v>0</v>
      </c>
      <c r="AE318" s="27">
        <f t="shared" si="37"/>
        <v>0</v>
      </c>
      <c r="AF318" s="32"/>
      <c r="AG318" s="33"/>
    </row>
    <row r="319" spans="1:35" s="34" customFormat="1" ht="24" customHeight="1" x14ac:dyDescent="0.35">
      <c r="A319" s="59">
        <v>315</v>
      </c>
      <c r="B319" s="27"/>
      <c r="C319" s="27"/>
      <c r="D319" s="26"/>
      <c r="E319" s="26"/>
      <c r="F319" s="29"/>
      <c r="G319" s="47"/>
      <c r="H319" s="27"/>
      <c r="I319" s="51"/>
      <c r="J319" s="27"/>
      <c r="K319" s="30">
        <f t="shared" si="39"/>
        <v>0</v>
      </c>
      <c r="L319" s="27"/>
      <c r="M319" s="31"/>
      <c r="N319" s="31"/>
      <c r="O319" s="31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31"/>
      <c r="AB319" s="27"/>
      <c r="AC319" s="27"/>
      <c r="AD319" s="27">
        <f t="shared" si="36"/>
        <v>0</v>
      </c>
      <c r="AE319" s="27">
        <f t="shared" si="37"/>
        <v>0</v>
      </c>
      <c r="AF319" s="32"/>
      <c r="AG319" s="33"/>
    </row>
    <row r="320" spans="1:35" s="34" customFormat="1" ht="24" customHeight="1" x14ac:dyDescent="0.35">
      <c r="A320" s="59">
        <v>316</v>
      </c>
      <c r="B320" s="27"/>
      <c r="C320" s="27"/>
      <c r="D320" s="26"/>
      <c r="E320" s="26"/>
      <c r="F320" s="29"/>
      <c r="G320" s="29"/>
      <c r="H320" s="27"/>
      <c r="I320" s="44"/>
      <c r="J320" s="27"/>
      <c r="K320" s="30">
        <f t="shared" si="39"/>
        <v>0</v>
      </c>
      <c r="L320" s="27"/>
      <c r="M320" s="31"/>
      <c r="N320" s="31"/>
      <c r="O320" s="31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31"/>
      <c r="AB320" s="27"/>
      <c r="AC320" s="27"/>
      <c r="AD320" s="27">
        <f t="shared" si="36"/>
        <v>0</v>
      </c>
      <c r="AE320" s="27">
        <f t="shared" si="37"/>
        <v>0</v>
      </c>
      <c r="AF320" s="32"/>
      <c r="AG320" s="33"/>
    </row>
    <row r="321" spans="1:794" s="34" customFormat="1" ht="24" customHeight="1" x14ac:dyDescent="0.35">
      <c r="A321" s="59">
        <v>317</v>
      </c>
      <c r="B321" s="27"/>
      <c r="C321" s="27"/>
      <c r="D321" s="28"/>
      <c r="E321" s="28"/>
      <c r="F321" s="29"/>
      <c r="G321" s="29"/>
      <c r="H321" s="27"/>
      <c r="I321" s="52"/>
      <c r="J321" s="27"/>
      <c r="K321" s="30">
        <f t="shared" si="39"/>
        <v>0</v>
      </c>
      <c r="L321" s="27"/>
      <c r="M321" s="31"/>
      <c r="N321" s="31"/>
      <c r="O321" s="31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31"/>
      <c r="AB321" s="27"/>
      <c r="AC321" s="27"/>
      <c r="AD321" s="27">
        <f t="shared" si="36"/>
        <v>0</v>
      </c>
      <c r="AE321" s="27">
        <f t="shared" si="37"/>
        <v>0</v>
      </c>
      <c r="AF321" s="32"/>
      <c r="AG321" s="33"/>
    </row>
    <row r="322" spans="1:794" s="34" customFormat="1" ht="24" customHeight="1" x14ac:dyDescent="0.35">
      <c r="A322" s="59">
        <v>318</v>
      </c>
      <c r="B322" s="27"/>
      <c r="C322" s="27"/>
      <c r="D322" s="35"/>
      <c r="E322" s="35"/>
      <c r="F322" s="29"/>
      <c r="G322" s="29"/>
      <c r="H322" s="27"/>
      <c r="I322" s="44"/>
      <c r="J322" s="27"/>
      <c r="K322" s="30">
        <f t="shared" si="39"/>
        <v>0</v>
      </c>
      <c r="L322" s="27"/>
      <c r="M322" s="31"/>
      <c r="N322" s="31"/>
      <c r="O322" s="31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31"/>
      <c r="AB322" s="27"/>
      <c r="AC322" s="27"/>
      <c r="AD322" s="27">
        <f t="shared" ref="AD322:AD331" si="40">L322+P322+T322+X322+AB322+N322+R322+V322+Z322</f>
        <v>0</v>
      </c>
      <c r="AE322" s="27">
        <f t="shared" ref="AE322:AE327" si="41">AD322-K322</f>
        <v>0</v>
      </c>
      <c r="AF322" s="32"/>
      <c r="AG322" s="33"/>
    </row>
    <row r="323" spans="1:794" s="34" customFormat="1" ht="24" customHeight="1" x14ac:dyDescent="0.35">
      <c r="A323" s="59">
        <v>319</v>
      </c>
      <c r="B323" s="27"/>
      <c r="C323" s="27"/>
      <c r="D323" s="26"/>
      <c r="E323" s="26"/>
      <c r="F323" s="29"/>
      <c r="G323" s="36"/>
      <c r="H323" s="27"/>
      <c r="I323" s="27"/>
      <c r="J323" s="27"/>
      <c r="K323" s="30">
        <f t="shared" si="39"/>
        <v>0</v>
      </c>
      <c r="L323" s="27"/>
      <c r="M323" s="31"/>
      <c r="N323" s="31"/>
      <c r="O323" s="31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31"/>
      <c r="AB323" s="27"/>
      <c r="AC323" s="27"/>
      <c r="AD323" s="27">
        <f t="shared" si="40"/>
        <v>0</v>
      </c>
      <c r="AE323" s="27">
        <f t="shared" si="41"/>
        <v>0</v>
      </c>
      <c r="AF323" s="32"/>
      <c r="AG323" s="33"/>
    </row>
    <row r="324" spans="1:794" s="34" customFormat="1" ht="24" customHeight="1" x14ac:dyDescent="0.35">
      <c r="A324" s="59">
        <v>320</v>
      </c>
      <c r="B324" s="27"/>
      <c r="C324" s="27"/>
      <c r="D324" s="46"/>
      <c r="E324" s="46"/>
      <c r="F324" s="47"/>
      <c r="G324" s="47"/>
      <c r="H324" s="27"/>
      <c r="I324" s="27"/>
      <c r="J324" s="27"/>
      <c r="K324" s="30">
        <f t="shared" si="39"/>
        <v>0</v>
      </c>
      <c r="L324" s="27"/>
      <c r="M324" s="31"/>
      <c r="N324" s="31"/>
      <c r="O324" s="31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31"/>
      <c r="AB324" s="27"/>
      <c r="AC324" s="27"/>
      <c r="AD324" s="27">
        <f t="shared" si="40"/>
        <v>0</v>
      </c>
      <c r="AE324" s="27">
        <f t="shared" si="41"/>
        <v>0</v>
      </c>
      <c r="AF324" s="32"/>
      <c r="AG324" s="33"/>
    </row>
    <row r="325" spans="1:794" s="34" customFormat="1" ht="24" customHeight="1" x14ac:dyDescent="0.35">
      <c r="A325" s="59">
        <v>321</v>
      </c>
      <c r="B325" s="27"/>
      <c r="C325" s="27"/>
      <c r="D325" s="28"/>
      <c r="E325" s="28"/>
      <c r="F325" s="36"/>
      <c r="G325" s="36"/>
      <c r="H325" s="27"/>
      <c r="I325" s="27"/>
      <c r="J325" s="27"/>
      <c r="K325" s="30">
        <f t="shared" si="39"/>
        <v>0</v>
      </c>
      <c r="L325" s="27"/>
      <c r="M325" s="31"/>
      <c r="N325" s="31"/>
      <c r="O325" s="31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31"/>
      <c r="AB325" s="27"/>
      <c r="AC325" s="27"/>
      <c r="AD325" s="27">
        <f t="shared" si="40"/>
        <v>0</v>
      </c>
      <c r="AE325" s="27">
        <f t="shared" si="41"/>
        <v>0</v>
      </c>
      <c r="AF325" s="32"/>
      <c r="AG325" s="33"/>
    </row>
    <row r="326" spans="1:794" s="34" customFormat="1" ht="24" customHeight="1" x14ac:dyDescent="0.35">
      <c r="A326" s="59">
        <v>322</v>
      </c>
      <c r="B326" s="27"/>
      <c r="C326" s="27"/>
      <c r="D326" s="25"/>
      <c r="E326" s="46"/>
      <c r="F326" s="47"/>
      <c r="G326" s="47"/>
      <c r="H326" s="27"/>
      <c r="I326" s="27"/>
      <c r="J326" s="27"/>
      <c r="K326" s="30">
        <f t="shared" si="39"/>
        <v>0</v>
      </c>
      <c r="L326" s="27"/>
      <c r="M326" s="31"/>
      <c r="N326" s="31"/>
      <c r="O326" s="31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31"/>
      <c r="AB326" s="27"/>
      <c r="AC326" s="27"/>
      <c r="AD326" s="27">
        <f t="shared" si="40"/>
        <v>0</v>
      </c>
      <c r="AE326" s="27">
        <f t="shared" si="41"/>
        <v>0</v>
      </c>
      <c r="AF326" s="32"/>
      <c r="AG326" s="33"/>
      <c r="AI326" s="33"/>
    </row>
    <row r="327" spans="1:794" s="34" customFormat="1" ht="24" customHeight="1" x14ac:dyDescent="0.35">
      <c r="A327" s="59">
        <v>323</v>
      </c>
      <c r="B327" s="27"/>
      <c r="C327" s="27"/>
      <c r="D327" s="27"/>
      <c r="E327" s="27"/>
      <c r="F327" s="27"/>
      <c r="G327" s="27"/>
      <c r="H327" s="27"/>
      <c r="I327" s="27"/>
      <c r="J327" s="27"/>
      <c r="K327" s="30">
        <f t="shared" si="39"/>
        <v>0</v>
      </c>
      <c r="L327" s="27"/>
      <c r="M327" s="31"/>
      <c r="N327" s="31"/>
      <c r="O327" s="31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31"/>
      <c r="AB327" s="27"/>
      <c r="AC327" s="27"/>
      <c r="AD327" s="27">
        <f t="shared" si="40"/>
        <v>0</v>
      </c>
      <c r="AE327" s="27">
        <f t="shared" si="41"/>
        <v>0</v>
      </c>
      <c r="AF327" s="32"/>
      <c r="AG327" s="33"/>
    </row>
    <row r="328" spans="1:794" s="34" customFormat="1" ht="24" customHeight="1" x14ac:dyDescent="0.35">
      <c r="A328" s="59">
        <v>324</v>
      </c>
      <c r="B328" s="27"/>
      <c r="C328" s="27"/>
      <c r="D328" s="27"/>
      <c r="E328" s="27"/>
      <c r="F328" s="27"/>
      <c r="G328" s="27"/>
      <c r="H328" s="27"/>
      <c r="I328" s="27"/>
      <c r="J328" s="27"/>
      <c r="K328" s="30">
        <f t="shared" si="39"/>
        <v>0</v>
      </c>
      <c r="L328" s="27"/>
      <c r="M328" s="31"/>
      <c r="N328" s="31"/>
      <c r="O328" s="31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31"/>
      <c r="AB328" s="27"/>
      <c r="AC328" s="27"/>
      <c r="AD328" s="27">
        <f t="shared" si="40"/>
        <v>0</v>
      </c>
      <c r="AE328" s="27">
        <f t="shared" ref="AE328:AE331" si="42">AD328-K328</f>
        <v>0</v>
      </c>
      <c r="AF328" s="32"/>
      <c r="AG328" s="33"/>
    </row>
    <row r="329" spans="1:794" s="34" customFormat="1" ht="24" customHeight="1" x14ac:dyDescent="0.35">
      <c r="A329" s="59">
        <v>325</v>
      </c>
      <c r="B329" s="27"/>
      <c r="C329" s="27"/>
      <c r="D329" s="27"/>
      <c r="E329" s="27"/>
      <c r="F329" s="27"/>
      <c r="G329" s="27"/>
      <c r="H329" s="27"/>
      <c r="I329" s="27"/>
      <c r="J329" s="27"/>
      <c r="K329" s="30">
        <f t="shared" si="39"/>
        <v>0</v>
      </c>
      <c r="L329" s="27"/>
      <c r="M329" s="31"/>
      <c r="N329" s="31"/>
      <c r="O329" s="31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31"/>
      <c r="AB329" s="27"/>
      <c r="AC329" s="27"/>
      <c r="AD329" s="27">
        <f t="shared" si="40"/>
        <v>0</v>
      </c>
      <c r="AE329" s="27">
        <f t="shared" si="42"/>
        <v>0</v>
      </c>
      <c r="AF329" s="32"/>
      <c r="AG329" s="33"/>
    </row>
    <row r="330" spans="1:794" s="34" customFormat="1" ht="24" customHeight="1" x14ac:dyDescent="0.35">
      <c r="A330" s="59">
        <v>326</v>
      </c>
      <c r="B330" s="27"/>
      <c r="C330" s="27"/>
      <c r="D330" s="27"/>
      <c r="E330" s="27"/>
      <c r="F330" s="27"/>
      <c r="G330" s="27"/>
      <c r="H330" s="27"/>
      <c r="I330" s="27"/>
      <c r="J330" s="27"/>
      <c r="K330" s="30">
        <f t="shared" si="39"/>
        <v>0</v>
      </c>
      <c r="L330" s="27"/>
      <c r="M330" s="31"/>
      <c r="N330" s="31"/>
      <c r="O330" s="31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31"/>
      <c r="AB330" s="27"/>
      <c r="AC330" s="27"/>
      <c r="AD330" s="27">
        <f t="shared" si="40"/>
        <v>0</v>
      </c>
      <c r="AE330" s="27">
        <f t="shared" si="42"/>
        <v>0</v>
      </c>
      <c r="AF330" s="32"/>
      <c r="AG330" s="33"/>
    </row>
    <row r="331" spans="1:794" s="34" customFormat="1" ht="24" customHeight="1" thickBot="1" x14ac:dyDescent="0.4">
      <c r="A331" s="59">
        <v>327</v>
      </c>
      <c r="B331" s="48"/>
      <c r="C331" s="48"/>
      <c r="D331" s="48"/>
      <c r="E331" s="48"/>
      <c r="F331" s="48"/>
      <c r="G331" s="48"/>
      <c r="H331" s="27"/>
      <c r="I331" s="48"/>
      <c r="J331" s="48"/>
      <c r="K331" s="53">
        <f t="shared" si="39"/>
        <v>0</v>
      </c>
      <c r="L331" s="48"/>
      <c r="M331" s="54"/>
      <c r="N331" s="54"/>
      <c r="O331" s="54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54"/>
      <c r="AB331" s="48"/>
      <c r="AC331" s="48"/>
      <c r="AD331" s="27">
        <f t="shared" si="40"/>
        <v>0</v>
      </c>
      <c r="AE331" s="48">
        <f t="shared" si="42"/>
        <v>0</v>
      </c>
      <c r="AF331" s="32"/>
      <c r="AG331" s="33"/>
      <c r="AH331" s="33"/>
      <c r="AI331" s="33"/>
    </row>
    <row r="332" spans="1:794" s="11" customFormat="1" ht="24" customHeight="1" thickTop="1" x14ac:dyDescent="0.35">
      <c r="A332" s="8"/>
      <c r="B332" s="70"/>
      <c r="C332" s="9"/>
      <c r="D332" s="10"/>
      <c r="I332" s="13"/>
      <c r="K332" s="15">
        <f>I332+J332</f>
        <v>0</v>
      </c>
      <c r="M332" s="12"/>
      <c r="N332" s="12"/>
      <c r="O332" s="12"/>
      <c r="P332" s="13"/>
      <c r="Q332" s="19"/>
      <c r="R332" s="14"/>
      <c r="S332" s="14"/>
      <c r="U332" s="21"/>
      <c r="V332" s="14"/>
      <c r="W332" s="14"/>
      <c r="AA332" s="17"/>
      <c r="AG332" s="23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  <c r="GB332" s="16"/>
      <c r="GC332" s="16"/>
      <c r="GD332" s="16"/>
      <c r="GE332" s="16"/>
      <c r="GF332" s="16"/>
      <c r="GG332" s="16"/>
      <c r="GH332" s="16"/>
      <c r="GI332" s="16"/>
      <c r="GJ332" s="16"/>
      <c r="GK332" s="16"/>
      <c r="GL332" s="16"/>
      <c r="GM332" s="16"/>
      <c r="GN332" s="16"/>
      <c r="GO332" s="16"/>
      <c r="GP332" s="16"/>
      <c r="GQ332" s="16"/>
      <c r="GR332" s="16"/>
      <c r="GS332" s="16"/>
      <c r="GT332" s="16"/>
      <c r="GU332" s="16"/>
      <c r="GV332" s="16"/>
      <c r="GW332" s="16"/>
      <c r="GX332" s="16"/>
      <c r="GY332" s="16"/>
      <c r="GZ332" s="16"/>
      <c r="HA332" s="16"/>
      <c r="HB332" s="16"/>
      <c r="HC332" s="16"/>
      <c r="HD332" s="16"/>
      <c r="HE332" s="16"/>
      <c r="HF332" s="16"/>
      <c r="HG332" s="16"/>
      <c r="HH332" s="16"/>
      <c r="HI332" s="16"/>
      <c r="HJ332" s="16"/>
      <c r="HK332" s="16"/>
      <c r="HL332" s="16"/>
      <c r="HM332" s="16"/>
      <c r="HN332" s="16"/>
      <c r="HO332" s="16"/>
      <c r="HP332" s="16"/>
      <c r="HQ332" s="16"/>
      <c r="HR332" s="16"/>
      <c r="HS332" s="16"/>
      <c r="HT332" s="16"/>
      <c r="HU332" s="16"/>
      <c r="HV332" s="16"/>
      <c r="HW332" s="16"/>
      <c r="HX332" s="16"/>
      <c r="HY332" s="16"/>
      <c r="HZ332" s="16"/>
      <c r="IA332" s="16"/>
      <c r="IB332" s="16"/>
      <c r="IC332" s="16"/>
      <c r="ID332" s="16"/>
      <c r="IE332" s="16"/>
      <c r="IF332" s="16"/>
      <c r="IG332" s="16"/>
      <c r="IH332" s="16"/>
      <c r="II332" s="16"/>
      <c r="IJ332" s="16"/>
      <c r="IK332" s="16"/>
      <c r="IL332" s="16"/>
      <c r="IM332" s="16"/>
      <c r="IN332" s="16"/>
      <c r="IO332" s="16"/>
      <c r="IP332" s="16"/>
      <c r="IQ332" s="16"/>
      <c r="IR332" s="16"/>
      <c r="IS332" s="16"/>
      <c r="IT332" s="16"/>
      <c r="IU332" s="16"/>
      <c r="IV332" s="16"/>
      <c r="IW332" s="16"/>
      <c r="IX332" s="16"/>
      <c r="IY332" s="16"/>
      <c r="IZ332" s="16"/>
      <c r="JA332" s="16"/>
      <c r="JB332" s="16"/>
      <c r="JC332" s="16"/>
      <c r="JD332" s="16"/>
      <c r="JE332" s="16"/>
      <c r="JF332" s="16"/>
      <c r="JG332" s="16"/>
      <c r="JH332" s="16"/>
      <c r="JI332" s="16"/>
      <c r="JJ332" s="16"/>
      <c r="JK332" s="16"/>
      <c r="JL332" s="16"/>
      <c r="JM332" s="16"/>
      <c r="JN332" s="16"/>
      <c r="JO332" s="16"/>
      <c r="JP332" s="16"/>
      <c r="JQ332" s="16"/>
      <c r="JR332" s="16"/>
      <c r="JS332" s="16"/>
      <c r="JT332" s="16"/>
      <c r="JU332" s="16"/>
      <c r="JV332" s="16"/>
      <c r="JW332" s="16"/>
      <c r="JX332" s="16"/>
      <c r="JY332" s="16"/>
      <c r="JZ332" s="16"/>
      <c r="KA332" s="16"/>
      <c r="KB332" s="16"/>
      <c r="KC332" s="16"/>
      <c r="KD332" s="16"/>
      <c r="KE332" s="16"/>
      <c r="KF332" s="16"/>
      <c r="KG332" s="16"/>
      <c r="KH332" s="16"/>
      <c r="KI332" s="16"/>
      <c r="KJ332" s="16"/>
      <c r="KK332" s="16"/>
      <c r="KL332" s="16"/>
      <c r="KM332" s="16"/>
      <c r="KN332" s="16"/>
      <c r="KO332" s="16"/>
      <c r="KP332" s="16"/>
      <c r="KQ332" s="16"/>
      <c r="KR332" s="16"/>
      <c r="KS332" s="16"/>
      <c r="KT332" s="16"/>
      <c r="KU332" s="16"/>
      <c r="KV332" s="16"/>
      <c r="KW332" s="16"/>
      <c r="KX332" s="16"/>
      <c r="KY332" s="16"/>
      <c r="KZ332" s="16"/>
      <c r="LA332" s="16"/>
      <c r="LB332" s="16"/>
      <c r="LC332" s="16"/>
      <c r="LD332" s="16"/>
      <c r="LE332" s="16"/>
      <c r="LF332" s="16"/>
      <c r="LG332" s="16"/>
      <c r="LH332" s="16"/>
      <c r="LI332" s="16"/>
      <c r="LJ332" s="16"/>
      <c r="LK332" s="16"/>
      <c r="LL332" s="16"/>
      <c r="LM332" s="16"/>
      <c r="LN332" s="16"/>
      <c r="LO332" s="16"/>
      <c r="LP332" s="16"/>
      <c r="LQ332" s="16"/>
      <c r="LR332" s="16"/>
      <c r="LS332" s="16"/>
      <c r="LT332" s="16"/>
      <c r="LU332" s="16"/>
      <c r="LV332" s="16"/>
      <c r="LW332" s="16"/>
      <c r="LX332" s="16"/>
      <c r="LY332" s="16"/>
      <c r="LZ332" s="16"/>
      <c r="MA332" s="16"/>
      <c r="MB332" s="16"/>
      <c r="MC332" s="16"/>
      <c r="MD332" s="16"/>
      <c r="ME332" s="16"/>
      <c r="MF332" s="16"/>
      <c r="MG332" s="16"/>
      <c r="MH332" s="16"/>
      <c r="MI332" s="16"/>
      <c r="MJ332" s="16"/>
      <c r="MK332" s="16"/>
      <c r="ML332" s="16"/>
      <c r="MM332" s="16"/>
      <c r="MN332" s="16"/>
      <c r="MO332" s="16"/>
      <c r="MP332" s="16"/>
      <c r="MQ332" s="16"/>
      <c r="MR332" s="16"/>
      <c r="MS332" s="16"/>
      <c r="MT332" s="16"/>
      <c r="MU332" s="16"/>
      <c r="MV332" s="16"/>
      <c r="MW332" s="16"/>
      <c r="MX332" s="16"/>
      <c r="MY332" s="16"/>
      <c r="MZ332" s="16"/>
      <c r="NA332" s="16"/>
      <c r="NB332" s="16"/>
      <c r="NC332" s="16"/>
      <c r="ND332" s="16"/>
      <c r="NE332" s="16"/>
      <c r="NF332" s="16"/>
      <c r="NG332" s="16"/>
      <c r="NH332" s="16"/>
      <c r="NI332" s="16"/>
      <c r="NJ332" s="16"/>
      <c r="NK332" s="16"/>
      <c r="NL332" s="16"/>
      <c r="NM332" s="16"/>
      <c r="NN332" s="16"/>
      <c r="NO332" s="16"/>
      <c r="NP332" s="16"/>
      <c r="NQ332" s="16"/>
      <c r="NR332" s="16"/>
      <c r="NS332" s="16"/>
      <c r="NT332" s="16"/>
      <c r="NU332" s="16"/>
      <c r="NV332" s="16"/>
      <c r="NW332" s="16"/>
      <c r="NX332" s="16"/>
      <c r="NY332" s="16"/>
      <c r="NZ332" s="16"/>
      <c r="OA332" s="16"/>
      <c r="OB332" s="16"/>
      <c r="OC332" s="16"/>
      <c r="OD332" s="16"/>
      <c r="OE332" s="16"/>
      <c r="OF332" s="16"/>
      <c r="OG332" s="16"/>
      <c r="OH332" s="16"/>
      <c r="OI332" s="16"/>
      <c r="OJ332" s="16"/>
      <c r="OK332" s="16"/>
      <c r="OL332" s="16"/>
      <c r="OM332" s="16"/>
      <c r="ON332" s="16"/>
      <c r="OO332" s="16"/>
      <c r="OP332" s="16"/>
      <c r="OQ332" s="16"/>
      <c r="OR332" s="16"/>
      <c r="OS332" s="16"/>
      <c r="OT332" s="16"/>
      <c r="OU332" s="16"/>
      <c r="OV332" s="16"/>
      <c r="OW332" s="16"/>
      <c r="OX332" s="16"/>
      <c r="OY332" s="16"/>
      <c r="OZ332" s="16"/>
      <c r="PA332" s="16"/>
      <c r="PB332" s="16"/>
      <c r="PC332" s="16"/>
      <c r="PD332" s="16"/>
      <c r="PE332" s="16"/>
      <c r="PF332" s="16"/>
      <c r="PG332" s="16"/>
      <c r="PH332" s="16"/>
      <c r="PI332" s="16"/>
      <c r="PJ332" s="16"/>
      <c r="PK332" s="16"/>
      <c r="PL332" s="16"/>
      <c r="PM332" s="16"/>
      <c r="PN332" s="16"/>
      <c r="PO332" s="16"/>
      <c r="PP332" s="16"/>
      <c r="PQ332" s="16"/>
      <c r="PR332" s="16"/>
      <c r="PS332" s="16"/>
      <c r="PT332" s="16"/>
      <c r="PU332" s="16"/>
      <c r="PV332" s="16"/>
      <c r="PW332" s="16"/>
      <c r="PX332" s="16"/>
      <c r="PY332" s="16"/>
      <c r="PZ332" s="16"/>
      <c r="QA332" s="16"/>
      <c r="QB332" s="16"/>
      <c r="QC332" s="16"/>
      <c r="QD332" s="16"/>
      <c r="QE332" s="16"/>
      <c r="QF332" s="16"/>
      <c r="QG332" s="16"/>
      <c r="QH332" s="16"/>
      <c r="QI332" s="16"/>
      <c r="QJ332" s="16"/>
      <c r="QK332" s="16"/>
      <c r="QL332" s="16"/>
      <c r="QM332" s="16"/>
      <c r="QN332" s="16"/>
      <c r="QO332" s="16"/>
      <c r="QP332" s="16"/>
      <c r="QQ332" s="16"/>
      <c r="QR332" s="16"/>
      <c r="QS332" s="16"/>
      <c r="QT332" s="16"/>
      <c r="QU332" s="16"/>
      <c r="QV332" s="16"/>
      <c r="QW332" s="16"/>
      <c r="QX332" s="16"/>
      <c r="QY332" s="16"/>
      <c r="QZ332" s="16"/>
      <c r="RA332" s="16"/>
      <c r="RB332" s="16"/>
      <c r="RC332" s="16"/>
      <c r="RD332" s="16"/>
      <c r="RE332" s="16"/>
      <c r="RF332" s="16"/>
      <c r="RG332" s="16"/>
      <c r="RH332" s="16"/>
      <c r="RI332" s="16"/>
      <c r="RJ332" s="16"/>
      <c r="RK332" s="16"/>
      <c r="RL332" s="16"/>
      <c r="RM332" s="16"/>
      <c r="RN332" s="16"/>
      <c r="RO332" s="16"/>
      <c r="RP332" s="16"/>
      <c r="RQ332" s="16"/>
      <c r="RR332" s="16"/>
      <c r="RS332" s="16"/>
      <c r="RT332" s="16"/>
      <c r="RU332" s="16"/>
      <c r="RV332" s="16"/>
      <c r="RW332" s="16"/>
      <c r="RX332" s="16"/>
      <c r="RY332" s="16"/>
      <c r="RZ332" s="16"/>
      <c r="SA332" s="16"/>
      <c r="SB332" s="16"/>
      <c r="SC332" s="16"/>
      <c r="SD332" s="16"/>
      <c r="SE332" s="16"/>
      <c r="SF332" s="16"/>
      <c r="SG332" s="16"/>
      <c r="SH332" s="16"/>
      <c r="SI332" s="16"/>
      <c r="SJ332" s="16"/>
      <c r="SK332" s="16"/>
      <c r="SL332" s="16"/>
      <c r="SM332" s="16"/>
      <c r="SN332" s="16"/>
      <c r="SO332" s="16"/>
      <c r="SP332" s="16"/>
      <c r="SQ332" s="16"/>
      <c r="SR332" s="16"/>
      <c r="SS332" s="16"/>
      <c r="ST332" s="16"/>
      <c r="SU332" s="16"/>
      <c r="SV332" s="16"/>
      <c r="SW332" s="16"/>
      <c r="SX332" s="16"/>
      <c r="SY332" s="16"/>
      <c r="SZ332" s="16"/>
      <c r="TA332" s="16"/>
      <c r="TB332" s="16"/>
      <c r="TC332" s="16"/>
      <c r="TD332" s="16"/>
      <c r="TE332" s="16"/>
      <c r="TF332" s="16"/>
      <c r="TG332" s="16"/>
      <c r="TH332" s="16"/>
      <c r="TI332" s="16"/>
      <c r="TJ332" s="16"/>
      <c r="TK332" s="16"/>
      <c r="TL332" s="16"/>
      <c r="TM332" s="16"/>
      <c r="TN332" s="16"/>
      <c r="TO332" s="16"/>
      <c r="TP332" s="16"/>
      <c r="TQ332" s="16"/>
      <c r="TR332" s="16"/>
      <c r="TS332" s="16"/>
      <c r="TT332" s="16"/>
      <c r="TU332" s="16"/>
      <c r="TV332" s="16"/>
      <c r="TW332" s="16"/>
      <c r="TX332" s="16"/>
      <c r="TY332" s="16"/>
      <c r="TZ332" s="16"/>
      <c r="UA332" s="16"/>
      <c r="UB332" s="16"/>
      <c r="UC332" s="16"/>
      <c r="UD332" s="16"/>
      <c r="UE332" s="16"/>
      <c r="UF332" s="16"/>
      <c r="UG332" s="16"/>
      <c r="UH332" s="16"/>
      <c r="UI332" s="16"/>
      <c r="UJ332" s="16"/>
      <c r="UK332" s="16"/>
      <c r="UL332" s="16"/>
      <c r="UM332" s="16"/>
      <c r="UN332" s="16"/>
      <c r="UO332" s="16"/>
      <c r="UP332" s="16"/>
      <c r="UQ332" s="16"/>
      <c r="UR332" s="16"/>
      <c r="US332" s="16"/>
      <c r="UT332" s="16"/>
      <c r="UU332" s="16"/>
      <c r="UV332" s="16"/>
      <c r="UW332" s="16"/>
      <c r="UX332" s="16"/>
      <c r="UY332" s="16"/>
      <c r="UZ332" s="16"/>
      <c r="VA332" s="16"/>
      <c r="VB332" s="16"/>
      <c r="VC332" s="16"/>
      <c r="VD332" s="16"/>
      <c r="VE332" s="16"/>
      <c r="VF332" s="16"/>
      <c r="VG332" s="16"/>
      <c r="VH332" s="16"/>
      <c r="VI332" s="16"/>
      <c r="VJ332" s="16"/>
      <c r="VK332" s="16"/>
      <c r="VL332" s="16"/>
      <c r="VM332" s="16"/>
      <c r="VN332" s="16"/>
      <c r="VO332" s="16"/>
      <c r="VP332" s="16"/>
      <c r="VQ332" s="16"/>
      <c r="VR332" s="16"/>
      <c r="VS332" s="16"/>
      <c r="VT332" s="16"/>
      <c r="VU332" s="16"/>
      <c r="VV332" s="16"/>
      <c r="VW332" s="16"/>
      <c r="VX332" s="16"/>
      <c r="VY332" s="16"/>
      <c r="VZ332" s="16"/>
      <c r="WA332" s="16"/>
      <c r="WB332" s="16"/>
      <c r="WC332" s="16"/>
      <c r="WD332" s="16"/>
      <c r="WE332" s="16"/>
      <c r="WF332" s="16"/>
      <c r="WG332" s="16"/>
      <c r="WH332" s="16"/>
      <c r="WI332" s="16"/>
      <c r="WJ332" s="16"/>
      <c r="WK332" s="16"/>
      <c r="WL332" s="16"/>
      <c r="WM332" s="16"/>
      <c r="WN332" s="16"/>
      <c r="WO332" s="16"/>
      <c r="WP332" s="16"/>
      <c r="WQ332" s="16"/>
      <c r="WR332" s="16"/>
      <c r="WS332" s="16"/>
      <c r="WT332" s="16"/>
      <c r="WU332" s="16"/>
      <c r="WV332" s="16"/>
      <c r="WW332" s="16"/>
      <c r="WX332" s="16"/>
      <c r="WY332" s="16"/>
      <c r="WZ332" s="16"/>
      <c r="XA332" s="16"/>
      <c r="XB332" s="16"/>
      <c r="XC332" s="16"/>
      <c r="XD332" s="16"/>
      <c r="XE332" s="16"/>
      <c r="XF332" s="16"/>
      <c r="XG332" s="16"/>
      <c r="XH332" s="16"/>
      <c r="XI332" s="16"/>
      <c r="XJ332" s="16"/>
      <c r="XK332" s="16"/>
      <c r="XL332" s="16"/>
      <c r="XM332" s="16"/>
      <c r="XN332" s="16"/>
      <c r="XO332" s="16"/>
      <c r="XP332" s="16"/>
      <c r="XQ332" s="16"/>
      <c r="XR332" s="16"/>
      <c r="XS332" s="16"/>
      <c r="XT332" s="16"/>
      <c r="XU332" s="16"/>
      <c r="XV332" s="16"/>
      <c r="XW332" s="16"/>
      <c r="XX332" s="16"/>
      <c r="XY332" s="16"/>
      <c r="XZ332" s="16"/>
      <c r="YA332" s="16"/>
      <c r="YB332" s="16"/>
      <c r="YC332" s="16"/>
      <c r="YD332" s="16"/>
      <c r="YE332" s="16"/>
      <c r="YF332" s="16"/>
      <c r="YG332" s="16"/>
      <c r="YH332" s="16"/>
      <c r="YI332" s="16"/>
      <c r="YJ332" s="16"/>
      <c r="YK332" s="16"/>
      <c r="YL332" s="16"/>
      <c r="YM332" s="16"/>
      <c r="YN332" s="16"/>
      <c r="YO332" s="16"/>
      <c r="YP332" s="16"/>
      <c r="YQ332" s="16"/>
      <c r="YR332" s="16"/>
      <c r="YS332" s="16"/>
      <c r="YT332" s="16"/>
      <c r="YU332" s="16"/>
      <c r="YV332" s="16"/>
      <c r="YW332" s="16"/>
      <c r="YX332" s="16"/>
      <c r="YY332" s="16"/>
      <c r="YZ332" s="16"/>
      <c r="ZA332" s="16"/>
      <c r="ZB332" s="16"/>
      <c r="ZC332" s="16"/>
      <c r="ZD332" s="16"/>
      <c r="ZE332" s="16"/>
      <c r="ZF332" s="16"/>
      <c r="ZG332" s="16"/>
      <c r="ZH332" s="16"/>
      <c r="ZI332" s="16"/>
      <c r="ZJ332" s="16"/>
      <c r="ZK332" s="16"/>
      <c r="ZL332" s="16"/>
      <c r="ZM332" s="16"/>
      <c r="ZN332" s="16"/>
      <c r="ZO332" s="16"/>
      <c r="ZP332" s="16"/>
      <c r="ZQ332" s="16"/>
      <c r="ZR332" s="16"/>
      <c r="ZS332" s="16"/>
      <c r="ZT332" s="16"/>
      <c r="ZU332" s="16"/>
      <c r="ZV332" s="16"/>
      <c r="ZW332" s="16"/>
      <c r="ZX332" s="16"/>
      <c r="ZY332" s="16"/>
      <c r="ZZ332" s="16"/>
      <c r="AAA332" s="16"/>
      <c r="AAB332" s="16"/>
      <c r="AAC332" s="16"/>
      <c r="AAD332" s="16"/>
      <c r="AAE332" s="16"/>
      <c r="AAF332" s="16"/>
      <c r="AAG332" s="16"/>
      <c r="AAH332" s="16"/>
      <c r="AAI332" s="16"/>
      <c r="AAJ332" s="16"/>
      <c r="AAK332" s="16"/>
      <c r="AAL332" s="16"/>
      <c r="AAM332" s="16"/>
      <c r="AAN332" s="16"/>
      <c r="AAO332" s="16"/>
      <c r="AAP332" s="16"/>
      <c r="AAQ332" s="16"/>
      <c r="AAR332" s="16"/>
      <c r="AAS332" s="16"/>
      <c r="AAT332" s="16"/>
      <c r="AAU332" s="16"/>
      <c r="AAV332" s="16"/>
      <c r="AAW332" s="16"/>
      <c r="AAX332" s="16"/>
      <c r="AAY332" s="16"/>
      <c r="AAZ332" s="16"/>
      <c r="ABA332" s="16"/>
      <c r="ABB332" s="16"/>
      <c r="ABC332" s="16"/>
      <c r="ABD332" s="16"/>
      <c r="ABE332" s="16"/>
      <c r="ABF332" s="16"/>
      <c r="ABG332" s="16"/>
      <c r="ABH332" s="16"/>
      <c r="ABI332" s="16"/>
      <c r="ABJ332" s="16"/>
      <c r="ABK332" s="16"/>
      <c r="ABL332" s="16"/>
      <c r="ABM332" s="16"/>
      <c r="ABN332" s="16"/>
      <c r="ABO332" s="16"/>
      <c r="ABP332" s="16"/>
      <c r="ABQ332" s="16"/>
      <c r="ABR332" s="16"/>
      <c r="ABS332" s="16"/>
      <c r="ABT332" s="16"/>
      <c r="ABU332" s="16"/>
      <c r="ABV332" s="16"/>
      <c r="ABW332" s="16"/>
      <c r="ABX332" s="16"/>
      <c r="ABY332" s="16"/>
      <c r="ABZ332" s="16"/>
      <c r="ACA332" s="16"/>
      <c r="ACB332" s="16"/>
      <c r="ACC332" s="16"/>
      <c r="ACD332" s="16"/>
      <c r="ACE332" s="16"/>
      <c r="ACF332" s="16"/>
      <c r="ACG332" s="16"/>
      <c r="ACH332" s="16"/>
      <c r="ACI332" s="16"/>
      <c r="ACJ332" s="16"/>
      <c r="ACK332" s="16"/>
      <c r="ACL332" s="16"/>
      <c r="ACM332" s="16"/>
      <c r="ACN332" s="16"/>
      <c r="ACO332" s="16"/>
      <c r="ACP332" s="16"/>
      <c r="ACQ332" s="16"/>
      <c r="ACR332" s="16"/>
      <c r="ACS332" s="16"/>
      <c r="ACT332" s="16"/>
      <c r="ACU332" s="16"/>
      <c r="ACV332" s="16"/>
      <c r="ACW332" s="16"/>
      <c r="ACX332" s="16"/>
      <c r="ACY332" s="16"/>
      <c r="ACZ332" s="16"/>
      <c r="ADA332" s="16"/>
      <c r="ADB332" s="16"/>
      <c r="ADC332" s="16"/>
      <c r="ADD332" s="16"/>
      <c r="ADE332" s="16"/>
      <c r="ADF332" s="16"/>
      <c r="ADG332" s="16"/>
      <c r="ADH332" s="16"/>
      <c r="ADI332" s="16"/>
      <c r="ADJ332" s="16"/>
      <c r="ADK332" s="16"/>
      <c r="ADL332" s="16"/>
      <c r="ADM332" s="16"/>
      <c r="ADN332" s="16"/>
    </row>
    <row r="333" spans="1:794" ht="18" customHeight="1" x14ac:dyDescent="0.35">
      <c r="D333" s="3"/>
      <c r="K333"/>
    </row>
    <row r="334" spans="1:794" s="111" customFormat="1" ht="61.5" customHeight="1" x14ac:dyDescent="0.5">
      <c r="A334" s="255"/>
      <c r="B334" s="110"/>
      <c r="C334" s="110"/>
      <c r="D334" s="256"/>
      <c r="F334"/>
      <c r="G334"/>
      <c r="H334"/>
      <c r="I334" s="6"/>
      <c r="J334"/>
      <c r="M334" s="5"/>
      <c r="N334" s="5"/>
      <c r="O334" s="5"/>
      <c r="P334" s="112"/>
      <c r="R334"/>
      <c r="S334"/>
      <c r="U334" s="22"/>
      <c r="V334"/>
      <c r="W334"/>
      <c r="Y334"/>
      <c r="Z334"/>
      <c r="AA334" s="18"/>
      <c r="AB334"/>
      <c r="AG334" s="113"/>
      <c r="AH334" s="113"/>
      <c r="AI334" s="113"/>
      <c r="AJ334" s="113"/>
      <c r="AK334" s="113"/>
      <c r="AL334" s="113"/>
      <c r="AM334" s="113"/>
      <c r="AN334" s="113">
        <v>7</v>
      </c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  <c r="BD334" s="113"/>
      <c r="BE334" s="113"/>
      <c r="BF334" s="113"/>
      <c r="BG334" s="113"/>
      <c r="BH334" s="113"/>
      <c r="BI334" s="113"/>
      <c r="BJ334" s="113"/>
      <c r="BK334" s="113"/>
      <c r="BL334" s="113"/>
      <c r="BM334" s="113"/>
      <c r="BN334" s="113"/>
      <c r="BO334" s="113"/>
      <c r="BP334" s="113"/>
      <c r="BQ334" s="113"/>
      <c r="BR334" s="113"/>
      <c r="BS334" s="113"/>
      <c r="BT334" s="113"/>
      <c r="BU334" s="113"/>
      <c r="BV334" s="113"/>
      <c r="BW334" s="113"/>
      <c r="BX334" s="113"/>
      <c r="BY334" s="113"/>
      <c r="BZ334" s="113"/>
      <c r="CA334" s="113"/>
      <c r="CB334" s="113"/>
      <c r="CC334" s="113"/>
      <c r="CD334" s="113"/>
      <c r="CE334" s="113"/>
      <c r="CF334" s="113"/>
      <c r="CG334" s="113"/>
      <c r="CH334" s="113"/>
      <c r="CI334" s="113"/>
      <c r="CJ334" s="113"/>
      <c r="CK334" s="113"/>
      <c r="CL334" s="113"/>
      <c r="CM334" s="113"/>
      <c r="CN334" s="113"/>
      <c r="CO334" s="113"/>
      <c r="CP334" s="113"/>
      <c r="CQ334" s="113"/>
      <c r="CR334" s="113"/>
      <c r="CS334" s="113"/>
      <c r="CT334" s="113"/>
      <c r="CU334" s="113"/>
      <c r="CV334" s="113"/>
      <c r="CW334" s="113"/>
      <c r="CX334" s="113"/>
      <c r="CY334" s="113"/>
      <c r="CZ334" s="113"/>
      <c r="DA334" s="113"/>
      <c r="DB334" s="113"/>
      <c r="DC334" s="113"/>
      <c r="DD334" s="113"/>
      <c r="DE334" s="113"/>
      <c r="DF334" s="113"/>
      <c r="DG334" s="113"/>
      <c r="DH334" s="113"/>
      <c r="DI334" s="113"/>
      <c r="DJ334" s="113"/>
      <c r="DK334" s="113"/>
      <c r="DL334" s="113"/>
      <c r="DM334" s="113"/>
      <c r="DN334" s="113"/>
      <c r="DO334" s="113"/>
      <c r="DP334" s="113"/>
      <c r="DQ334" s="113"/>
      <c r="DR334" s="113"/>
      <c r="DS334" s="113"/>
      <c r="DT334" s="113"/>
      <c r="DU334" s="113"/>
      <c r="DV334" s="113"/>
      <c r="DW334" s="113"/>
      <c r="DX334" s="113"/>
      <c r="DY334" s="113"/>
      <c r="DZ334" s="113"/>
      <c r="EA334" s="113"/>
      <c r="EB334" s="113"/>
      <c r="EC334" s="113"/>
      <c r="ED334" s="113"/>
      <c r="EE334" s="113"/>
      <c r="EF334" s="113"/>
      <c r="EG334" s="113"/>
      <c r="EH334" s="113"/>
      <c r="EI334" s="113"/>
      <c r="EJ334" s="113"/>
      <c r="EK334" s="113"/>
      <c r="EL334" s="113"/>
      <c r="EM334" s="113"/>
      <c r="EN334" s="113"/>
      <c r="EO334" s="113"/>
      <c r="EP334" s="113"/>
      <c r="EQ334" s="113"/>
      <c r="ER334" s="113"/>
      <c r="ES334" s="113"/>
      <c r="ET334" s="113"/>
      <c r="EU334" s="113"/>
      <c r="EV334" s="113"/>
      <c r="EW334" s="113"/>
      <c r="EX334" s="113"/>
      <c r="EY334" s="113"/>
      <c r="EZ334" s="113"/>
      <c r="FA334" s="113"/>
      <c r="FB334" s="113"/>
      <c r="FC334" s="113"/>
      <c r="FD334" s="113"/>
      <c r="FE334" s="113"/>
      <c r="FF334" s="113"/>
      <c r="FG334" s="113"/>
      <c r="FH334" s="113"/>
      <c r="FI334" s="113"/>
      <c r="FJ334" s="113"/>
      <c r="FK334" s="113"/>
      <c r="FL334" s="113"/>
      <c r="FM334" s="113"/>
      <c r="FN334" s="113"/>
      <c r="FO334" s="113"/>
      <c r="FP334" s="113"/>
      <c r="FQ334" s="113"/>
      <c r="FR334" s="113"/>
      <c r="FS334" s="113"/>
      <c r="FT334" s="113"/>
      <c r="FU334" s="113"/>
      <c r="FV334" s="113"/>
      <c r="FW334" s="113"/>
      <c r="FX334" s="113"/>
      <c r="FY334" s="113"/>
      <c r="FZ334" s="113"/>
      <c r="GA334" s="113"/>
      <c r="GB334" s="113"/>
      <c r="GC334" s="113"/>
      <c r="GD334" s="113"/>
      <c r="GE334" s="113"/>
      <c r="GF334" s="113"/>
      <c r="GG334" s="113"/>
      <c r="GH334" s="113"/>
      <c r="GI334" s="113"/>
      <c r="GJ334" s="113"/>
      <c r="GK334" s="113"/>
      <c r="GL334" s="113"/>
      <c r="GM334" s="113"/>
      <c r="GN334" s="113"/>
      <c r="GO334" s="113"/>
      <c r="GP334" s="113"/>
      <c r="GQ334" s="113"/>
      <c r="GR334" s="113"/>
      <c r="GS334" s="113"/>
      <c r="GT334" s="113"/>
      <c r="GU334" s="113"/>
      <c r="GV334" s="113"/>
      <c r="GW334" s="113"/>
      <c r="GX334" s="113"/>
      <c r="GY334" s="113"/>
      <c r="GZ334" s="113"/>
      <c r="HA334" s="113"/>
      <c r="HB334" s="113"/>
      <c r="HC334" s="113"/>
      <c r="HD334" s="113"/>
      <c r="HE334" s="113"/>
      <c r="HF334" s="113"/>
      <c r="HG334" s="113"/>
      <c r="HH334" s="113"/>
      <c r="HI334" s="113"/>
      <c r="HJ334" s="113"/>
      <c r="HK334" s="113"/>
      <c r="HL334" s="113"/>
      <c r="HM334" s="113"/>
      <c r="HN334" s="113"/>
      <c r="HO334" s="113"/>
      <c r="HP334" s="113"/>
      <c r="HQ334" s="113"/>
      <c r="HR334" s="113"/>
      <c r="HS334" s="113"/>
      <c r="HT334" s="113"/>
      <c r="HU334" s="113"/>
      <c r="HV334" s="113"/>
      <c r="HW334" s="113"/>
      <c r="HX334" s="113"/>
      <c r="HY334" s="113"/>
      <c r="HZ334" s="113"/>
      <c r="IA334" s="113"/>
      <c r="IB334" s="113"/>
      <c r="IC334" s="113"/>
      <c r="ID334" s="113"/>
      <c r="IE334" s="113"/>
      <c r="IF334" s="113"/>
      <c r="IG334" s="113"/>
      <c r="IH334" s="113"/>
      <c r="II334" s="113"/>
      <c r="IJ334" s="113"/>
      <c r="IK334" s="113"/>
      <c r="IL334" s="113"/>
      <c r="IM334" s="113"/>
      <c r="IN334" s="113"/>
      <c r="IO334" s="113"/>
      <c r="IP334" s="113"/>
      <c r="IQ334" s="113"/>
      <c r="IR334" s="113"/>
      <c r="IS334" s="113"/>
      <c r="IT334" s="113"/>
      <c r="IU334" s="113"/>
      <c r="IV334" s="113"/>
      <c r="IW334" s="113"/>
      <c r="IX334" s="113"/>
      <c r="IY334" s="113"/>
      <c r="IZ334" s="113"/>
      <c r="JA334" s="113"/>
      <c r="JB334" s="113"/>
      <c r="JC334" s="113"/>
      <c r="JD334" s="113"/>
      <c r="JE334" s="113"/>
      <c r="JF334" s="113"/>
      <c r="JG334" s="113"/>
      <c r="JH334" s="113"/>
      <c r="JI334" s="113"/>
      <c r="JJ334" s="113"/>
      <c r="JK334" s="113"/>
      <c r="JL334" s="113"/>
      <c r="JM334" s="113"/>
      <c r="JN334" s="113"/>
      <c r="JO334" s="113"/>
      <c r="JP334" s="113"/>
      <c r="JQ334" s="113"/>
      <c r="JR334" s="113"/>
      <c r="JS334" s="113"/>
      <c r="JT334" s="113"/>
      <c r="JU334" s="113"/>
      <c r="JV334" s="113"/>
      <c r="JW334" s="113"/>
      <c r="JX334" s="113"/>
      <c r="JY334" s="113"/>
      <c r="JZ334" s="113"/>
      <c r="KA334" s="113"/>
      <c r="KB334" s="113"/>
      <c r="KC334" s="113"/>
      <c r="KD334" s="113"/>
      <c r="KE334" s="113"/>
      <c r="KF334" s="113"/>
      <c r="KG334" s="113"/>
      <c r="KH334" s="113"/>
      <c r="KI334" s="113"/>
      <c r="KJ334" s="113"/>
      <c r="KK334" s="113"/>
      <c r="KL334" s="113"/>
      <c r="KM334" s="113"/>
      <c r="KN334" s="113"/>
      <c r="KO334" s="113"/>
      <c r="KP334" s="113"/>
      <c r="KQ334" s="113"/>
      <c r="KR334" s="113"/>
      <c r="KS334" s="113"/>
      <c r="KT334" s="113"/>
      <c r="KU334" s="113"/>
      <c r="KV334" s="113"/>
      <c r="KW334" s="113"/>
      <c r="KX334" s="113"/>
      <c r="KY334" s="113"/>
      <c r="KZ334" s="113"/>
      <c r="LA334" s="113"/>
      <c r="LB334" s="113"/>
      <c r="LC334" s="113"/>
      <c r="LD334" s="113"/>
      <c r="LE334" s="113"/>
      <c r="LF334" s="113"/>
      <c r="LG334" s="113"/>
      <c r="LH334" s="113"/>
      <c r="LI334" s="113"/>
      <c r="LJ334" s="113"/>
      <c r="LK334" s="113"/>
      <c r="LL334" s="113"/>
      <c r="LM334" s="113"/>
      <c r="LN334" s="113"/>
      <c r="LO334" s="113"/>
      <c r="LP334" s="113"/>
      <c r="LQ334" s="113"/>
      <c r="LR334" s="113"/>
      <c r="LS334" s="113"/>
      <c r="LT334" s="113"/>
      <c r="LU334" s="113"/>
      <c r="LV334" s="113"/>
      <c r="LW334" s="113"/>
      <c r="LX334" s="113"/>
      <c r="LY334" s="113"/>
      <c r="LZ334" s="113"/>
      <c r="MA334" s="113"/>
      <c r="MB334" s="113"/>
      <c r="MC334" s="113"/>
      <c r="MD334" s="113"/>
      <c r="ME334" s="113"/>
      <c r="MF334" s="113"/>
      <c r="MG334" s="113"/>
      <c r="MH334" s="113"/>
      <c r="MI334" s="113"/>
      <c r="MJ334" s="113"/>
      <c r="MK334" s="113"/>
      <c r="ML334" s="113"/>
      <c r="MM334" s="113"/>
      <c r="MN334" s="113"/>
      <c r="MO334" s="113"/>
      <c r="MP334" s="113"/>
      <c r="MQ334" s="113"/>
      <c r="MR334" s="113"/>
      <c r="MS334" s="113"/>
      <c r="MT334" s="113"/>
      <c r="MU334" s="113"/>
      <c r="MV334" s="113"/>
      <c r="MW334" s="113"/>
      <c r="MX334" s="113"/>
      <c r="MY334" s="113"/>
      <c r="MZ334" s="113"/>
      <c r="NA334" s="113"/>
      <c r="NB334" s="113"/>
      <c r="NC334" s="113"/>
      <c r="ND334" s="113"/>
      <c r="NE334" s="113"/>
      <c r="NF334" s="113"/>
      <c r="NG334" s="113"/>
      <c r="NH334" s="113"/>
      <c r="NI334" s="113"/>
      <c r="NJ334" s="113"/>
      <c r="NK334" s="113"/>
      <c r="NL334" s="113"/>
      <c r="NM334" s="113"/>
      <c r="NN334" s="113"/>
      <c r="NO334" s="113"/>
      <c r="NP334" s="113"/>
      <c r="NQ334" s="113"/>
      <c r="NR334" s="113"/>
      <c r="NS334" s="113"/>
      <c r="NT334" s="113"/>
      <c r="NU334" s="113"/>
      <c r="NV334" s="113"/>
      <c r="NW334" s="113"/>
      <c r="NX334" s="113"/>
      <c r="NY334" s="113"/>
      <c r="NZ334" s="113"/>
      <c r="OA334" s="113"/>
      <c r="OB334" s="113"/>
      <c r="OC334" s="113"/>
      <c r="OD334" s="113"/>
      <c r="OE334" s="113"/>
      <c r="OF334" s="113"/>
      <c r="OG334" s="113"/>
      <c r="OH334" s="113"/>
      <c r="OI334" s="113"/>
      <c r="OJ334" s="113"/>
      <c r="OK334" s="113"/>
      <c r="OL334" s="113"/>
      <c r="OM334" s="113"/>
      <c r="ON334" s="113"/>
      <c r="OO334" s="113"/>
      <c r="OP334" s="113"/>
      <c r="OQ334" s="113"/>
      <c r="OR334" s="113"/>
      <c r="OS334" s="113"/>
      <c r="OT334" s="113"/>
      <c r="OU334" s="113"/>
      <c r="OV334" s="113"/>
      <c r="OW334" s="113"/>
      <c r="OX334" s="113"/>
      <c r="OY334" s="113"/>
      <c r="OZ334" s="113"/>
      <c r="PA334" s="113"/>
      <c r="PB334" s="113"/>
      <c r="PC334" s="113"/>
      <c r="PD334" s="113"/>
      <c r="PE334" s="113"/>
      <c r="PF334" s="113"/>
      <c r="PG334" s="113"/>
      <c r="PH334" s="113"/>
      <c r="PI334" s="113"/>
      <c r="PJ334" s="113"/>
      <c r="PK334" s="113"/>
      <c r="PL334" s="113"/>
      <c r="PM334" s="113"/>
      <c r="PN334" s="113"/>
      <c r="PO334" s="113"/>
      <c r="PP334" s="113"/>
      <c r="PQ334" s="113"/>
      <c r="PR334" s="113"/>
      <c r="PS334" s="113"/>
      <c r="PT334" s="113"/>
      <c r="PU334" s="113"/>
      <c r="PV334" s="113"/>
      <c r="PW334" s="113"/>
      <c r="PX334" s="113"/>
      <c r="PY334" s="113"/>
      <c r="PZ334" s="113"/>
      <c r="QA334" s="113"/>
      <c r="QB334" s="113"/>
      <c r="QC334" s="113"/>
      <c r="QD334" s="113"/>
      <c r="QE334" s="113"/>
      <c r="QF334" s="113"/>
      <c r="QG334" s="113"/>
      <c r="QH334" s="113"/>
      <c r="QI334" s="113"/>
      <c r="QJ334" s="113"/>
      <c r="QK334" s="113"/>
      <c r="QL334" s="113"/>
      <c r="QM334" s="113"/>
      <c r="QN334" s="113"/>
      <c r="QO334" s="113"/>
      <c r="QP334" s="113"/>
      <c r="QQ334" s="113"/>
      <c r="QR334" s="113"/>
      <c r="QS334" s="113"/>
      <c r="QT334" s="113"/>
      <c r="QU334" s="113"/>
      <c r="QV334" s="113"/>
      <c r="QW334" s="113"/>
      <c r="QX334" s="113"/>
      <c r="QY334" s="113"/>
      <c r="QZ334" s="113"/>
      <c r="RA334" s="113"/>
      <c r="RB334" s="113"/>
      <c r="RC334" s="113"/>
      <c r="RD334" s="113"/>
      <c r="RE334" s="113"/>
      <c r="RF334" s="113"/>
      <c r="RG334" s="113"/>
      <c r="RH334" s="113"/>
      <c r="RI334" s="113"/>
      <c r="RJ334" s="113"/>
      <c r="RK334" s="113"/>
      <c r="RL334" s="113"/>
      <c r="RM334" s="113"/>
      <c r="RN334" s="113"/>
      <c r="RO334" s="113"/>
      <c r="RP334" s="113"/>
      <c r="RQ334" s="113"/>
      <c r="RR334" s="113"/>
      <c r="RS334" s="113"/>
      <c r="RT334" s="113"/>
      <c r="RU334" s="113"/>
      <c r="RV334" s="113"/>
      <c r="RW334" s="113"/>
      <c r="RX334" s="113"/>
      <c r="RY334" s="113"/>
      <c r="RZ334" s="113"/>
      <c r="SA334" s="113"/>
      <c r="SB334" s="113"/>
      <c r="SC334" s="113"/>
      <c r="SD334" s="113"/>
      <c r="SE334" s="113"/>
      <c r="SF334" s="113"/>
      <c r="SG334" s="113"/>
      <c r="SH334" s="113"/>
      <c r="SI334" s="113"/>
      <c r="SJ334" s="113"/>
      <c r="SK334" s="113"/>
      <c r="SL334" s="113"/>
      <c r="SM334" s="113"/>
      <c r="SN334" s="113"/>
      <c r="SO334" s="113"/>
      <c r="SP334" s="113"/>
      <c r="SQ334" s="113"/>
      <c r="SR334" s="113"/>
      <c r="SS334" s="113"/>
      <c r="ST334" s="113"/>
      <c r="SU334" s="113"/>
      <c r="SV334" s="113"/>
      <c r="SW334" s="113"/>
      <c r="SX334" s="113"/>
      <c r="SY334" s="113"/>
      <c r="SZ334" s="113"/>
      <c r="TA334" s="113"/>
      <c r="TB334" s="113"/>
      <c r="TC334" s="113"/>
      <c r="TD334" s="113"/>
      <c r="TE334" s="113"/>
      <c r="TF334" s="113"/>
      <c r="TG334" s="113"/>
      <c r="TH334" s="113"/>
      <c r="TI334" s="113"/>
      <c r="TJ334" s="113"/>
      <c r="TK334" s="113"/>
      <c r="TL334" s="113"/>
      <c r="TM334" s="113"/>
      <c r="TN334" s="113"/>
      <c r="TO334" s="113"/>
      <c r="TP334" s="113"/>
      <c r="TQ334" s="113"/>
      <c r="TR334" s="113"/>
      <c r="TS334" s="113"/>
      <c r="TT334" s="113"/>
      <c r="TU334" s="113"/>
      <c r="TV334" s="113"/>
      <c r="TW334" s="113"/>
      <c r="TX334" s="113"/>
      <c r="TY334" s="113"/>
      <c r="TZ334" s="113"/>
      <c r="UA334" s="113"/>
      <c r="UB334" s="113"/>
      <c r="UC334" s="113"/>
      <c r="UD334" s="113"/>
      <c r="UE334" s="113"/>
      <c r="UF334" s="113"/>
      <c r="UG334" s="113"/>
      <c r="UH334" s="113"/>
      <c r="UI334" s="113"/>
      <c r="UJ334" s="113"/>
      <c r="UK334" s="113"/>
      <c r="UL334" s="113"/>
      <c r="UM334" s="113"/>
      <c r="UN334" s="113"/>
      <c r="UO334" s="113"/>
      <c r="UP334" s="113"/>
      <c r="UQ334" s="113"/>
      <c r="UR334" s="113"/>
      <c r="US334" s="113"/>
      <c r="UT334" s="113"/>
      <c r="UU334" s="113"/>
      <c r="UV334" s="113"/>
      <c r="UW334" s="113"/>
      <c r="UX334" s="113"/>
      <c r="UY334" s="113"/>
      <c r="UZ334" s="113"/>
      <c r="VA334" s="113"/>
      <c r="VB334" s="113"/>
      <c r="VC334" s="113"/>
      <c r="VD334" s="113"/>
      <c r="VE334" s="113"/>
      <c r="VF334" s="113"/>
      <c r="VG334" s="113"/>
      <c r="VH334" s="113"/>
      <c r="VI334" s="113"/>
      <c r="VJ334" s="113"/>
      <c r="VK334" s="113"/>
      <c r="VL334" s="113"/>
      <c r="VM334" s="113"/>
      <c r="VN334" s="113"/>
      <c r="VO334" s="113"/>
      <c r="VP334" s="113"/>
      <c r="VQ334" s="113"/>
      <c r="VR334" s="113"/>
      <c r="VS334" s="113"/>
      <c r="VT334" s="113"/>
      <c r="VU334" s="113"/>
      <c r="VV334" s="113"/>
      <c r="VW334" s="113"/>
      <c r="VX334" s="113"/>
      <c r="VY334" s="113"/>
      <c r="VZ334" s="113"/>
      <c r="WA334" s="113"/>
      <c r="WB334" s="113"/>
      <c r="WC334" s="113"/>
      <c r="WD334" s="113"/>
      <c r="WE334" s="113"/>
      <c r="WF334" s="113"/>
      <c r="WG334" s="113"/>
      <c r="WH334" s="113"/>
      <c r="WI334" s="113"/>
      <c r="WJ334" s="113"/>
      <c r="WK334" s="113"/>
      <c r="WL334" s="113"/>
      <c r="WM334" s="113"/>
      <c r="WN334" s="113"/>
      <c r="WO334" s="113"/>
      <c r="WP334" s="113"/>
      <c r="WQ334" s="113"/>
      <c r="WR334" s="113"/>
      <c r="WS334" s="113"/>
      <c r="WT334" s="113"/>
      <c r="WU334" s="113"/>
      <c r="WV334" s="113"/>
      <c r="WW334" s="113"/>
      <c r="WX334" s="113"/>
      <c r="WY334" s="113"/>
      <c r="WZ334" s="113"/>
      <c r="XA334" s="113"/>
      <c r="XB334" s="113"/>
      <c r="XC334" s="113"/>
      <c r="XD334" s="113"/>
      <c r="XE334" s="113"/>
      <c r="XF334" s="113"/>
      <c r="XG334" s="113"/>
      <c r="XH334" s="113"/>
      <c r="XI334" s="113"/>
      <c r="XJ334" s="113"/>
      <c r="XK334" s="113"/>
      <c r="XL334" s="113"/>
      <c r="XM334" s="113"/>
      <c r="XN334" s="113"/>
      <c r="XO334" s="113"/>
      <c r="XP334" s="113"/>
      <c r="XQ334" s="113"/>
      <c r="XR334" s="113"/>
      <c r="XS334" s="113"/>
      <c r="XT334" s="113"/>
      <c r="XU334" s="113"/>
      <c r="XV334" s="113"/>
      <c r="XW334" s="113"/>
      <c r="XX334" s="113"/>
      <c r="XY334" s="113"/>
      <c r="XZ334" s="113"/>
      <c r="YA334" s="113"/>
      <c r="YB334" s="113"/>
      <c r="YC334" s="113"/>
      <c r="YD334" s="113"/>
      <c r="YE334" s="113"/>
      <c r="YF334" s="113"/>
      <c r="YG334" s="113"/>
      <c r="YH334" s="113"/>
      <c r="YI334" s="113"/>
      <c r="YJ334" s="113"/>
      <c r="YK334" s="113"/>
      <c r="YL334" s="113"/>
      <c r="YM334" s="113"/>
      <c r="YN334" s="113"/>
      <c r="YO334" s="113"/>
      <c r="YP334" s="113"/>
      <c r="YQ334" s="113"/>
      <c r="YR334" s="113"/>
      <c r="YS334" s="113"/>
      <c r="YT334" s="113"/>
      <c r="YU334" s="113"/>
      <c r="YV334" s="113"/>
      <c r="YW334" s="113"/>
      <c r="YX334" s="113"/>
      <c r="YY334" s="113"/>
      <c r="YZ334" s="113"/>
      <c r="ZA334" s="113"/>
      <c r="ZB334" s="113"/>
      <c r="ZC334" s="113"/>
      <c r="ZD334" s="113"/>
      <c r="ZE334" s="113"/>
      <c r="ZF334" s="113"/>
      <c r="ZG334" s="113"/>
      <c r="ZH334" s="113"/>
      <c r="ZI334" s="113"/>
      <c r="ZJ334" s="113"/>
      <c r="ZK334" s="113"/>
      <c r="ZL334" s="113"/>
      <c r="ZM334" s="113"/>
      <c r="ZN334" s="113"/>
      <c r="ZO334" s="113"/>
      <c r="ZP334" s="113"/>
      <c r="ZQ334" s="113"/>
      <c r="ZR334" s="113"/>
      <c r="ZS334" s="113"/>
      <c r="ZT334" s="113"/>
      <c r="ZU334" s="113"/>
      <c r="ZV334" s="113"/>
      <c r="ZW334" s="113"/>
      <c r="ZX334" s="113"/>
      <c r="ZY334" s="113"/>
      <c r="ZZ334" s="113"/>
      <c r="AAA334" s="113"/>
      <c r="AAB334" s="113"/>
      <c r="AAC334" s="113"/>
      <c r="AAD334" s="113"/>
      <c r="AAE334" s="113"/>
      <c r="AAF334" s="113"/>
      <c r="AAG334" s="113"/>
      <c r="AAH334" s="113"/>
      <c r="AAI334" s="113"/>
      <c r="AAJ334" s="113"/>
      <c r="AAK334" s="113"/>
      <c r="AAL334" s="113"/>
      <c r="AAM334" s="113"/>
      <c r="AAN334" s="113"/>
      <c r="AAO334" s="113"/>
      <c r="AAP334" s="113"/>
      <c r="AAQ334" s="113"/>
      <c r="AAR334" s="113"/>
      <c r="AAS334" s="113"/>
      <c r="AAT334" s="113"/>
      <c r="AAU334" s="113"/>
      <c r="AAV334" s="113"/>
      <c r="AAW334" s="113"/>
      <c r="AAX334" s="113"/>
      <c r="AAY334" s="113"/>
      <c r="AAZ334" s="113"/>
      <c r="ABA334" s="113"/>
      <c r="ABB334" s="113"/>
      <c r="ABC334" s="113"/>
      <c r="ABD334" s="113"/>
      <c r="ABE334" s="113"/>
      <c r="ABF334" s="113"/>
      <c r="ABG334" s="113"/>
      <c r="ABH334" s="113"/>
      <c r="ABI334" s="113"/>
      <c r="ABJ334" s="113"/>
      <c r="ABK334" s="113"/>
      <c r="ABL334" s="113"/>
      <c r="ABM334" s="113"/>
      <c r="ABN334" s="113"/>
      <c r="ABO334" s="113"/>
      <c r="ABP334" s="113"/>
      <c r="ABQ334" s="113"/>
      <c r="ABR334" s="113"/>
      <c r="ABS334" s="113"/>
      <c r="ABT334" s="113"/>
      <c r="ABU334" s="113"/>
      <c r="ABV334" s="113"/>
      <c r="ABW334" s="113"/>
      <c r="ABX334" s="113"/>
      <c r="ABY334" s="113"/>
      <c r="ABZ334" s="113"/>
      <c r="ACA334" s="113"/>
      <c r="ACB334" s="113"/>
      <c r="ACC334" s="113"/>
      <c r="ACD334" s="113"/>
      <c r="ACE334" s="113"/>
      <c r="ACF334" s="113"/>
      <c r="ACG334" s="113"/>
      <c r="ACH334" s="113"/>
      <c r="ACI334" s="113"/>
      <c r="ACJ334" s="113"/>
      <c r="ACK334" s="113"/>
      <c r="ACL334" s="113"/>
      <c r="ACM334" s="113"/>
      <c r="ACN334" s="113"/>
      <c r="ACO334" s="113"/>
      <c r="ACP334" s="113"/>
      <c r="ACQ334" s="113"/>
      <c r="ACR334" s="113"/>
      <c r="ACS334" s="113"/>
      <c r="ACT334" s="113"/>
      <c r="ACU334" s="113"/>
      <c r="ACV334" s="113"/>
      <c r="ACW334" s="113"/>
      <c r="ACX334" s="113"/>
      <c r="ACY334" s="113"/>
      <c r="ACZ334" s="113"/>
      <c r="ADA334" s="113"/>
      <c r="ADB334" s="113"/>
      <c r="ADC334" s="113"/>
      <c r="ADD334" s="113"/>
      <c r="ADE334" s="113"/>
      <c r="ADF334" s="113"/>
      <c r="ADG334" s="113"/>
      <c r="ADH334" s="113"/>
      <c r="ADI334" s="113"/>
      <c r="ADJ334" s="113"/>
      <c r="ADK334" s="113"/>
      <c r="ADL334" s="113"/>
      <c r="ADM334" s="113"/>
      <c r="ADN334" s="113"/>
    </row>
    <row r="335" spans="1:794" x14ac:dyDescent="0.5">
      <c r="AN335" s="7">
        <v>3</v>
      </c>
    </row>
    <row r="336" spans="1:794" x14ac:dyDescent="0.5">
      <c r="AN336" s="7">
        <v>6</v>
      </c>
    </row>
    <row r="337" spans="40:40" x14ac:dyDescent="0.5">
      <c r="AN337" s="7">
        <v>7</v>
      </c>
    </row>
    <row r="338" spans="40:40" x14ac:dyDescent="0.5">
      <c r="AN338" s="7">
        <v>7</v>
      </c>
    </row>
    <row r="339" spans="40:40" x14ac:dyDescent="0.5">
      <c r="AN339" s="7">
        <v>8</v>
      </c>
    </row>
    <row r="340" spans="40:40" x14ac:dyDescent="0.5">
      <c r="AN340" s="7">
        <v>8</v>
      </c>
    </row>
    <row r="341" spans="40:40" x14ac:dyDescent="0.5">
      <c r="AN341" s="7">
        <v>5</v>
      </c>
    </row>
    <row r="342" spans="40:40" x14ac:dyDescent="0.5">
      <c r="AN342" s="7">
        <v>4</v>
      </c>
    </row>
    <row r="343" spans="40:40" x14ac:dyDescent="0.5">
      <c r="AN343" s="7">
        <v>4</v>
      </c>
    </row>
    <row r="344" spans="40:40" x14ac:dyDescent="0.5">
      <c r="AN344" s="7">
        <v>3</v>
      </c>
    </row>
    <row r="345" spans="40:40" x14ac:dyDescent="0.5">
      <c r="AN345" s="7">
        <v>8</v>
      </c>
    </row>
    <row r="346" spans="40:40" x14ac:dyDescent="0.5">
      <c r="AN346" s="7">
        <v>6</v>
      </c>
    </row>
    <row r="347" spans="40:40" x14ac:dyDescent="0.5">
      <c r="AN347" s="7">
        <v>4</v>
      </c>
    </row>
    <row r="348" spans="40:40" x14ac:dyDescent="0.5">
      <c r="AN348" s="7">
        <v>4</v>
      </c>
    </row>
    <row r="349" spans="40:40" x14ac:dyDescent="0.5">
      <c r="AN349" s="7">
        <v>4</v>
      </c>
    </row>
    <row r="350" spans="40:40" x14ac:dyDescent="0.5">
      <c r="AN350" s="7">
        <v>4</v>
      </c>
    </row>
    <row r="351" spans="40:40" x14ac:dyDescent="0.5">
      <c r="AN351" s="7">
        <v>5</v>
      </c>
    </row>
    <row r="352" spans="40:40" x14ac:dyDescent="0.5">
      <c r="AN352" s="7">
        <v>3</v>
      </c>
    </row>
    <row r="353" spans="40:40" x14ac:dyDescent="0.5">
      <c r="AN353" s="7">
        <v>6</v>
      </c>
    </row>
    <row r="354" spans="40:40" x14ac:dyDescent="0.5">
      <c r="AN354" s="7">
        <v>3</v>
      </c>
    </row>
    <row r="355" spans="40:40" x14ac:dyDescent="0.5">
      <c r="AN355" s="7">
        <v>4</v>
      </c>
    </row>
    <row r="356" spans="40:40" x14ac:dyDescent="0.5">
      <c r="AN356" s="7">
        <v>5</v>
      </c>
    </row>
    <row r="357" spans="40:40" x14ac:dyDescent="0.5">
      <c r="AN357" s="7">
        <v>3</v>
      </c>
    </row>
    <row r="358" spans="40:40" x14ac:dyDescent="0.5">
      <c r="AN358" s="7">
        <v>4</v>
      </c>
    </row>
    <row r="359" spans="40:40" x14ac:dyDescent="0.5">
      <c r="AN359" s="7">
        <v>4</v>
      </c>
    </row>
    <row r="360" spans="40:40" x14ac:dyDescent="0.5">
      <c r="AN360" s="7">
        <v>4</v>
      </c>
    </row>
    <row r="361" spans="40:40" x14ac:dyDescent="0.5">
      <c r="AN361" s="7">
        <v>5</v>
      </c>
    </row>
    <row r="362" spans="40:40" x14ac:dyDescent="0.5">
      <c r="AN362" s="7">
        <v>7</v>
      </c>
    </row>
    <row r="363" spans="40:40" x14ac:dyDescent="0.5">
      <c r="AN363" s="7">
        <v>2</v>
      </c>
    </row>
    <row r="364" spans="40:40" x14ac:dyDescent="0.5">
      <c r="AN364" s="7">
        <v>2</v>
      </c>
    </row>
    <row r="365" spans="40:40" x14ac:dyDescent="0.5">
      <c r="AN365" s="7">
        <v>2</v>
      </c>
    </row>
    <row r="366" spans="40:40" x14ac:dyDescent="0.5">
      <c r="AN366" s="7">
        <v>1</v>
      </c>
    </row>
    <row r="367" spans="40:40" x14ac:dyDescent="0.5">
      <c r="AN367" s="7">
        <v>6</v>
      </c>
    </row>
    <row r="368" spans="40:40" x14ac:dyDescent="0.5">
      <c r="AN368" s="7">
        <v>2</v>
      </c>
    </row>
    <row r="369" spans="40:40" x14ac:dyDescent="0.5">
      <c r="AN369" s="7">
        <v>10</v>
      </c>
    </row>
    <row r="370" spans="40:40" x14ac:dyDescent="0.5">
      <c r="AN370" s="7">
        <v>3</v>
      </c>
    </row>
    <row r="371" spans="40:40" x14ac:dyDescent="0.5">
      <c r="AN371" s="7">
        <f>SUBTOTAL(9,AN334:AN370)</f>
        <v>173</v>
      </c>
    </row>
    <row r="372" spans="40:40" x14ac:dyDescent="0.5">
      <c r="AN372" s="7">
        <f>AN371*40</f>
        <v>6920</v>
      </c>
    </row>
  </sheetData>
  <autoFilter ref="A4:AF333">
    <sortState ref="A174:AF174">
      <sortCondition ref="D4:D330"/>
    </sortState>
  </autoFilter>
  <mergeCells count="4">
    <mergeCell ref="A1:AF1"/>
    <mergeCell ref="A2:AE2"/>
    <mergeCell ref="L3:M3"/>
    <mergeCell ref="P3:Q3"/>
  </mergeCells>
  <pageMargins left="0" right="0" top="0" bottom="0" header="0" footer="0"/>
  <pageSetup paperSize="9" scale="36" fitToWidth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Head Sheet</vt:lpstr>
      <vt:lpstr>'Head Sheet'!Print_Area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Superior Accountant</dc:creator>
  <cp:lastModifiedBy>Superior Accountant</cp:lastModifiedBy>
  <cp:lastPrinted>2026-01-22T06:52:11Z</cp:lastPrinted>
  <dcterms:created xsi:type="dcterms:W3CDTF">2024-09-04T07:06:53Z</dcterms:created>
  <dcterms:modified xsi:type="dcterms:W3CDTF">2026-03-26T05:34:05Z</dcterms:modified>
</cp:coreProperties>
</file>